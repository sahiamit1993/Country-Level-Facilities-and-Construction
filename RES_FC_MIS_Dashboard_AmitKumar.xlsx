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70ACD49D4C20E0E/Desktop/"/>
    </mc:Choice>
  </mc:AlternateContent>
  <xr:revisionPtr revIDLastSave="7" documentId="8_{6C1EFDDA-7D98-4241-8AB6-6C536D2579EE}" xr6:coauthVersionLast="47" xr6:coauthVersionMax="47" xr10:uidLastSave="{D4479DFE-9521-4F18-A0E4-274174DC363E}"/>
  <bookViews>
    <workbookView xWindow="-108" yWindow="-108" windowWidth="23256" windowHeight="12456" tabRatio="500" xr2:uid="{00000000-000D-0000-FFFF-FFFF00000000}"/>
  </bookViews>
  <sheets>
    <sheet name="🏠 Cover" sheetId="1" r:id="rId1"/>
    <sheet name="Data_Repository" sheetId="2" r:id="rId2"/>
    <sheet name="Executive_Summary" sheetId="3" r:id="rId3"/>
    <sheet name="Project_Tracker" sheetId="4" r:id="rId4"/>
    <sheet name="Budget_Cost_MIS" sheetId="5" r:id="rId5"/>
    <sheet name="Performance_Analysis" sheetId="6" r:id="rId6"/>
    <sheet name="APAC_Regional" sheetId="7" r:id="rId7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6" i="7" l="1"/>
  <c r="J16" i="7"/>
  <c r="I16" i="7"/>
  <c r="G16" i="7"/>
  <c r="F16" i="7"/>
  <c r="E16" i="7"/>
  <c r="D16" i="7"/>
  <c r="C16" i="7"/>
  <c r="B16" i="7"/>
  <c r="K15" i="7"/>
  <c r="J15" i="7"/>
  <c r="I15" i="7"/>
  <c r="G15" i="7"/>
  <c r="F15" i="7"/>
  <c r="E15" i="7"/>
  <c r="D15" i="7"/>
  <c r="C15" i="7"/>
  <c r="B15" i="7"/>
  <c r="K14" i="7"/>
  <c r="J14" i="7"/>
  <c r="I14" i="7"/>
  <c r="G14" i="7"/>
  <c r="F14" i="7"/>
  <c r="E14" i="7"/>
  <c r="D14" i="7"/>
  <c r="C14" i="7"/>
  <c r="B14" i="7"/>
  <c r="K13" i="7"/>
  <c r="J13" i="7"/>
  <c r="I13" i="7"/>
  <c r="G13" i="7"/>
  <c r="F13" i="7"/>
  <c r="E13" i="7"/>
  <c r="D13" i="7"/>
  <c r="C13" i="7"/>
  <c r="B13" i="7"/>
  <c r="K12" i="7"/>
  <c r="J12" i="7"/>
  <c r="I12" i="7"/>
  <c r="G12" i="7"/>
  <c r="F12" i="7"/>
  <c r="E12" i="7"/>
  <c r="D12" i="7"/>
  <c r="C12" i="7"/>
  <c r="B12" i="7"/>
  <c r="K11" i="7"/>
  <c r="J11" i="7"/>
  <c r="I11" i="7"/>
  <c r="G11" i="7"/>
  <c r="F11" i="7"/>
  <c r="E11" i="7"/>
  <c r="D11" i="7"/>
  <c r="C11" i="7"/>
  <c r="B11" i="7"/>
  <c r="K10" i="7"/>
  <c r="J10" i="7"/>
  <c r="I10" i="7"/>
  <c r="G10" i="7"/>
  <c r="F10" i="7"/>
  <c r="E10" i="7"/>
  <c r="D10" i="7"/>
  <c r="C10" i="7"/>
  <c r="B10" i="7"/>
  <c r="K9" i="7"/>
  <c r="J9" i="7"/>
  <c r="I9" i="7"/>
  <c r="G9" i="7"/>
  <c r="F9" i="7"/>
  <c r="E9" i="7"/>
  <c r="D9" i="7"/>
  <c r="C9" i="7"/>
  <c r="B9" i="7"/>
  <c r="K8" i="7"/>
  <c r="J8" i="7"/>
  <c r="I8" i="7"/>
  <c r="G8" i="7"/>
  <c r="F8" i="7"/>
  <c r="E8" i="7"/>
  <c r="D8" i="7"/>
  <c r="C8" i="7"/>
  <c r="B8" i="7"/>
  <c r="K7" i="7"/>
  <c r="J7" i="7"/>
  <c r="I7" i="7"/>
  <c r="G7" i="7"/>
  <c r="F7" i="7"/>
  <c r="E7" i="7"/>
  <c r="D7" i="7"/>
  <c r="C7" i="7"/>
  <c r="B7" i="7"/>
  <c r="G26" i="6"/>
  <c r="D26" i="6"/>
  <c r="C26" i="6"/>
  <c r="B26" i="6"/>
  <c r="G25" i="6"/>
  <c r="D25" i="6"/>
  <c r="C25" i="6"/>
  <c r="B25" i="6"/>
  <c r="G24" i="6"/>
  <c r="D24" i="6"/>
  <c r="C24" i="6"/>
  <c r="B24" i="6"/>
  <c r="G23" i="6"/>
  <c r="D23" i="6"/>
  <c r="C23" i="6"/>
  <c r="B23" i="6"/>
  <c r="G22" i="6"/>
  <c r="D22" i="6"/>
  <c r="C22" i="6"/>
  <c r="B22" i="6"/>
  <c r="G21" i="6"/>
  <c r="D21" i="6"/>
  <c r="C21" i="6"/>
  <c r="B21" i="6"/>
  <c r="G20" i="6"/>
  <c r="D20" i="6"/>
  <c r="C20" i="6"/>
  <c r="B20" i="6"/>
  <c r="G19" i="6"/>
  <c r="D19" i="6"/>
  <c r="C19" i="6"/>
  <c r="B19" i="6"/>
  <c r="G18" i="6"/>
  <c r="E18" i="6"/>
  <c r="D18" i="6"/>
  <c r="C18" i="6"/>
  <c r="B18" i="6"/>
  <c r="G17" i="6"/>
  <c r="D17" i="6"/>
  <c r="C17" i="6"/>
  <c r="B17" i="6"/>
  <c r="G11" i="6"/>
  <c r="D11" i="6"/>
  <c r="C11" i="6"/>
  <c r="B11" i="6"/>
  <c r="G10" i="6"/>
  <c r="D10" i="6"/>
  <c r="C10" i="6"/>
  <c r="B10" i="6"/>
  <c r="G9" i="6"/>
  <c r="D9" i="6"/>
  <c r="C9" i="6"/>
  <c r="B9" i="6"/>
  <c r="G8" i="6"/>
  <c r="D8" i="6"/>
  <c r="C8" i="6"/>
  <c r="B8" i="6"/>
  <c r="G7" i="6"/>
  <c r="D7" i="6"/>
  <c r="C7" i="6"/>
  <c r="B7" i="6"/>
  <c r="G19" i="5"/>
  <c r="F19" i="5"/>
  <c r="C19" i="5"/>
  <c r="B19" i="5"/>
  <c r="K18" i="5"/>
  <c r="J18" i="5"/>
  <c r="H18" i="5"/>
  <c r="D18" i="5"/>
  <c r="K17" i="5"/>
  <c r="J17" i="5"/>
  <c r="H17" i="5"/>
  <c r="D17" i="5"/>
  <c r="K16" i="5"/>
  <c r="J16" i="5"/>
  <c r="H16" i="5"/>
  <c r="D16" i="5"/>
  <c r="K15" i="5"/>
  <c r="J15" i="5"/>
  <c r="H15" i="5"/>
  <c r="D15" i="5"/>
  <c r="K14" i="5"/>
  <c r="J14" i="5"/>
  <c r="H14" i="5"/>
  <c r="D14" i="5"/>
  <c r="K13" i="5"/>
  <c r="J13" i="5"/>
  <c r="H13" i="5"/>
  <c r="D13" i="5"/>
  <c r="K12" i="5"/>
  <c r="J12" i="5"/>
  <c r="H12" i="5"/>
  <c r="D12" i="5"/>
  <c r="K11" i="5"/>
  <c r="J11" i="5"/>
  <c r="H11" i="5"/>
  <c r="D11" i="5"/>
  <c r="K10" i="5"/>
  <c r="J10" i="5"/>
  <c r="H10" i="5"/>
  <c r="D10" i="5"/>
  <c r="K9" i="5"/>
  <c r="J9" i="5"/>
  <c r="H9" i="5"/>
  <c r="D9" i="5"/>
  <c r="K8" i="5"/>
  <c r="J8" i="5"/>
  <c r="H8" i="5"/>
  <c r="D8" i="5"/>
  <c r="K7" i="5"/>
  <c r="J7" i="5"/>
  <c r="H7" i="5"/>
  <c r="D7" i="5"/>
  <c r="Q20" i="4"/>
  <c r="P20" i="4"/>
  <c r="O20" i="4"/>
  <c r="N20" i="4"/>
  <c r="M20" i="4"/>
  <c r="L20" i="4"/>
  <c r="K20" i="4"/>
  <c r="H20" i="4"/>
  <c r="G20" i="4"/>
  <c r="F20" i="4"/>
  <c r="E20" i="4"/>
  <c r="D20" i="4"/>
  <c r="C20" i="4"/>
  <c r="B20" i="4"/>
  <c r="A20" i="4"/>
  <c r="Q19" i="4"/>
  <c r="P19" i="4"/>
  <c r="O19" i="4"/>
  <c r="N19" i="4"/>
  <c r="M19" i="4"/>
  <c r="L19" i="4"/>
  <c r="K19" i="4"/>
  <c r="H19" i="4"/>
  <c r="G19" i="4"/>
  <c r="F19" i="4"/>
  <c r="E19" i="4"/>
  <c r="D19" i="4"/>
  <c r="C19" i="4"/>
  <c r="B19" i="4"/>
  <c r="A19" i="4"/>
  <c r="Q18" i="4"/>
  <c r="P18" i="4"/>
  <c r="O18" i="4"/>
  <c r="N18" i="4"/>
  <c r="M18" i="4"/>
  <c r="L18" i="4"/>
  <c r="K18" i="4"/>
  <c r="H18" i="4"/>
  <c r="G18" i="4"/>
  <c r="F18" i="4"/>
  <c r="E18" i="4"/>
  <c r="D18" i="4"/>
  <c r="C18" i="4"/>
  <c r="B18" i="4"/>
  <c r="A18" i="4"/>
  <c r="Q17" i="4"/>
  <c r="P17" i="4"/>
  <c r="O17" i="4"/>
  <c r="N17" i="4"/>
  <c r="M17" i="4"/>
  <c r="L17" i="4"/>
  <c r="K17" i="4"/>
  <c r="H17" i="4"/>
  <c r="G17" i="4"/>
  <c r="F17" i="4"/>
  <c r="E17" i="4"/>
  <c r="D17" i="4"/>
  <c r="C17" i="4"/>
  <c r="B17" i="4"/>
  <c r="A17" i="4"/>
  <c r="Q16" i="4"/>
  <c r="P16" i="4"/>
  <c r="O16" i="4"/>
  <c r="N16" i="4"/>
  <c r="M16" i="4"/>
  <c r="L16" i="4"/>
  <c r="K16" i="4"/>
  <c r="H16" i="4"/>
  <c r="G16" i="4"/>
  <c r="F16" i="4"/>
  <c r="E16" i="4"/>
  <c r="D16" i="4"/>
  <c r="C16" i="4"/>
  <c r="B16" i="4"/>
  <c r="A16" i="4"/>
  <c r="Q15" i="4"/>
  <c r="P15" i="4"/>
  <c r="O15" i="4"/>
  <c r="N15" i="4"/>
  <c r="M15" i="4"/>
  <c r="L15" i="4"/>
  <c r="K15" i="4"/>
  <c r="H15" i="4"/>
  <c r="G15" i="4"/>
  <c r="F15" i="4"/>
  <c r="E15" i="4"/>
  <c r="D15" i="4"/>
  <c r="C15" i="4"/>
  <c r="B15" i="4"/>
  <c r="A15" i="4"/>
  <c r="Q14" i="4"/>
  <c r="P14" i="4"/>
  <c r="O14" i="4"/>
  <c r="N14" i="4"/>
  <c r="M14" i="4"/>
  <c r="L14" i="4"/>
  <c r="K14" i="4"/>
  <c r="H14" i="4"/>
  <c r="G14" i="4"/>
  <c r="F14" i="4"/>
  <c r="E14" i="4"/>
  <c r="D14" i="4"/>
  <c r="C14" i="4"/>
  <c r="B14" i="4"/>
  <c r="A14" i="4"/>
  <c r="Q13" i="4"/>
  <c r="P13" i="4"/>
  <c r="O13" i="4"/>
  <c r="N13" i="4"/>
  <c r="M13" i="4"/>
  <c r="L13" i="4"/>
  <c r="K13" i="4"/>
  <c r="H13" i="4"/>
  <c r="G13" i="4"/>
  <c r="F13" i="4"/>
  <c r="E13" i="4"/>
  <c r="D13" i="4"/>
  <c r="C13" i="4"/>
  <c r="B13" i="4"/>
  <c r="A13" i="4"/>
  <c r="Q12" i="4"/>
  <c r="P12" i="4"/>
  <c r="O12" i="4"/>
  <c r="N12" i="4"/>
  <c r="M12" i="4"/>
  <c r="L12" i="4"/>
  <c r="K12" i="4"/>
  <c r="H12" i="4"/>
  <c r="G12" i="4"/>
  <c r="F12" i="4"/>
  <c r="E12" i="4"/>
  <c r="D12" i="4"/>
  <c r="C12" i="4"/>
  <c r="B12" i="4"/>
  <c r="A12" i="4"/>
  <c r="Q11" i="4"/>
  <c r="P11" i="4"/>
  <c r="O11" i="4"/>
  <c r="N11" i="4"/>
  <c r="M11" i="4"/>
  <c r="L11" i="4"/>
  <c r="K11" i="4"/>
  <c r="H11" i="4"/>
  <c r="G11" i="4"/>
  <c r="F11" i="4"/>
  <c r="E11" i="4"/>
  <c r="D11" i="4"/>
  <c r="C11" i="4"/>
  <c r="B11" i="4"/>
  <c r="A11" i="4"/>
  <c r="Q10" i="4"/>
  <c r="P10" i="4"/>
  <c r="O10" i="4"/>
  <c r="N10" i="4"/>
  <c r="M10" i="4"/>
  <c r="L10" i="4"/>
  <c r="K10" i="4"/>
  <c r="H10" i="4"/>
  <c r="G10" i="4"/>
  <c r="F10" i="4"/>
  <c r="E10" i="4"/>
  <c r="D10" i="4"/>
  <c r="C10" i="4"/>
  <c r="B10" i="4"/>
  <c r="A10" i="4"/>
  <c r="Q9" i="4"/>
  <c r="P9" i="4"/>
  <c r="O9" i="4"/>
  <c r="N9" i="4"/>
  <c r="M9" i="4"/>
  <c r="L9" i="4"/>
  <c r="K9" i="4"/>
  <c r="H9" i="4"/>
  <c r="G9" i="4"/>
  <c r="F9" i="4"/>
  <c r="E9" i="4"/>
  <c r="D9" i="4"/>
  <c r="C9" i="4"/>
  <c r="B9" i="4"/>
  <c r="A9" i="4"/>
  <c r="M6" i="4"/>
  <c r="K6" i="4"/>
  <c r="I6" i="4"/>
  <c r="G6" i="4"/>
  <c r="E6" i="4"/>
  <c r="C6" i="4"/>
  <c r="A6" i="4"/>
  <c r="F18" i="3"/>
  <c r="D18" i="3"/>
  <c r="C18" i="3"/>
  <c r="B18" i="3"/>
  <c r="F17" i="3"/>
  <c r="D17" i="3"/>
  <c r="C17" i="3"/>
  <c r="B17" i="3"/>
  <c r="F16" i="3"/>
  <c r="D16" i="3"/>
  <c r="C16" i="3"/>
  <c r="B16" i="3"/>
  <c r="F15" i="3"/>
  <c r="D15" i="3"/>
  <c r="C15" i="3"/>
  <c r="B15" i="3"/>
  <c r="E17" i="7" l="1"/>
  <c r="D17" i="7"/>
  <c r="B17" i="7"/>
  <c r="H14" i="7"/>
  <c r="H12" i="7"/>
  <c r="H10" i="7"/>
  <c r="H9" i="7"/>
  <c r="E25" i="6"/>
  <c r="F25" i="6" s="1"/>
  <c r="H25" i="6" s="1"/>
  <c r="E22" i="6"/>
  <c r="F22" i="6" s="1"/>
  <c r="H22" i="6" s="1"/>
  <c r="E17" i="6"/>
  <c r="F17" i="6" s="1"/>
  <c r="H17" i="6" s="1"/>
  <c r="G12" i="6"/>
  <c r="D12" i="6"/>
  <c r="C12" i="6"/>
  <c r="B12" i="6"/>
  <c r="H11" i="6"/>
  <c r="E11" i="6"/>
  <c r="F11" i="6" s="1"/>
  <c r="I11" i="6" s="1"/>
  <c r="H10" i="6"/>
  <c r="E10" i="6"/>
  <c r="F10" i="6" s="1"/>
  <c r="I10" i="6" s="1"/>
  <c r="H9" i="6"/>
  <c r="E9" i="6"/>
  <c r="F9" i="6" s="1"/>
  <c r="I9" i="6" s="1"/>
  <c r="H8" i="6"/>
  <c r="E8" i="6"/>
  <c r="F8" i="6" s="1"/>
  <c r="I8" i="6" s="1"/>
  <c r="H7" i="6"/>
  <c r="E7" i="6"/>
  <c r="K19" i="5"/>
  <c r="J19" i="5"/>
  <c r="H19" i="5"/>
  <c r="D19" i="5"/>
  <c r="N18" i="5"/>
  <c r="M18" i="5"/>
  <c r="L18" i="5"/>
  <c r="I18" i="5"/>
  <c r="E18" i="5"/>
  <c r="N17" i="5"/>
  <c r="M17" i="5"/>
  <c r="L17" i="5"/>
  <c r="I17" i="5"/>
  <c r="E17" i="5"/>
  <c r="N16" i="5"/>
  <c r="M16" i="5"/>
  <c r="L16" i="5"/>
  <c r="I16" i="5"/>
  <c r="E16" i="5"/>
  <c r="N15" i="5"/>
  <c r="M15" i="5"/>
  <c r="L15" i="5"/>
  <c r="I15" i="5"/>
  <c r="E15" i="5"/>
  <c r="N14" i="5"/>
  <c r="M14" i="5"/>
  <c r="L14" i="5"/>
  <c r="I14" i="5"/>
  <c r="E14" i="5"/>
  <c r="N13" i="5"/>
  <c r="M13" i="5"/>
  <c r="L13" i="5"/>
  <c r="I13" i="5"/>
  <c r="E13" i="5"/>
  <c r="N12" i="5"/>
  <c r="M12" i="5"/>
  <c r="L12" i="5"/>
  <c r="I12" i="5"/>
  <c r="E12" i="5"/>
  <c r="N11" i="5"/>
  <c r="M11" i="5"/>
  <c r="L11" i="5"/>
  <c r="I11" i="5"/>
  <c r="E11" i="5"/>
  <c r="N10" i="5"/>
  <c r="M10" i="5"/>
  <c r="L10" i="5"/>
  <c r="I10" i="5"/>
  <c r="E10" i="5"/>
  <c r="N9" i="5"/>
  <c r="M9" i="5"/>
  <c r="L9" i="5"/>
  <c r="I9" i="5"/>
  <c r="E9" i="5"/>
  <c r="N8" i="5"/>
  <c r="M8" i="5"/>
  <c r="L8" i="5"/>
  <c r="I8" i="5"/>
  <c r="E8" i="5"/>
  <c r="N7" i="5"/>
  <c r="M7" i="5"/>
  <c r="L7" i="5"/>
  <c r="L19" i="5" s="1"/>
  <c r="I7" i="5"/>
  <c r="I19" i="5" s="1"/>
  <c r="E7" i="5"/>
  <c r="E19" i="5" s="1"/>
  <c r="I20" i="4"/>
  <c r="J20" i="4" s="1"/>
  <c r="R20" i="4" s="1"/>
  <c r="I19" i="4"/>
  <c r="J19" i="4" s="1"/>
  <c r="R19" i="4" s="1"/>
  <c r="I18" i="4"/>
  <c r="J18" i="4" s="1"/>
  <c r="R18" i="4" s="1"/>
  <c r="I17" i="4"/>
  <c r="J17" i="4" s="1"/>
  <c r="R17" i="4" s="1"/>
  <c r="I16" i="4"/>
  <c r="J16" i="4" s="1"/>
  <c r="R16" i="4" s="1"/>
  <c r="I15" i="4"/>
  <c r="J15" i="4" s="1"/>
  <c r="R15" i="4" s="1"/>
  <c r="I14" i="4"/>
  <c r="J14" i="4" s="1"/>
  <c r="R14" i="4" s="1"/>
  <c r="I13" i="4"/>
  <c r="J13" i="4" s="1"/>
  <c r="R13" i="4" s="1"/>
  <c r="I12" i="4"/>
  <c r="J12" i="4" s="1"/>
  <c r="R12" i="4" s="1"/>
  <c r="I11" i="4"/>
  <c r="J11" i="4" s="1"/>
  <c r="R11" i="4" s="1"/>
  <c r="I10" i="4"/>
  <c r="J10" i="4" s="1"/>
  <c r="R10" i="4" s="1"/>
  <c r="F19" i="3"/>
  <c r="D19" i="3"/>
  <c r="C19" i="3"/>
  <c r="B19" i="3"/>
  <c r="E18" i="3"/>
  <c r="G18" i="3" s="1"/>
  <c r="E17" i="3"/>
  <c r="G17" i="3" s="1"/>
  <c r="E16" i="3"/>
  <c r="G16" i="3" s="1"/>
  <c r="E15" i="3"/>
  <c r="G15" i="3" s="1"/>
  <c r="I9" i="4"/>
  <c r="J9" i="4" s="1"/>
  <c r="R9" i="4" s="1"/>
  <c r="I17" i="7"/>
  <c r="F17" i="7"/>
  <c r="K17" i="7"/>
  <c r="C17" i="7"/>
  <c r="G17" i="7"/>
  <c r="H17" i="7" s="1"/>
  <c r="H16" i="7"/>
  <c r="H15" i="7"/>
  <c r="H11" i="7"/>
  <c r="E24" i="6"/>
  <c r="F24" i="6" s="1"/>
  <c r="H24" i="6" s="1"/>
  <c r="E21" i="6"/>
  <c r="F21" i="6" s="1"/>
  <c r="H21" i="6" s="1"/>
  <c r="E20" i="6"/>
  <c r="F20" i="6" s="1"/>
  <c r="H20" i="6" s="1"/>
  <c r="E19" i="6"/>
  <c r="F19" i="6" s="1"/>
  <c r="H19" i="6" s="1"/>
  <c r="J17" i="7"/>
  <c r="H13" i="7"/>
  <c r="H8" i="7"/>
  <c r="H7" i="7"/>
  <c r="E26" i="6"/>
  <c r="F26" i="6" s="1"/>
  <c r="H26" i="6" s="1"/>
  <c r="E23" i="6"/>
  <c r="F23" i="6" s="1"/>
  <c r="H23" i="6" s="1"/>
  <c r="F18" i="6"/>
  <c r="H18" i="6" s="1"/>
  <c r="M14" i="7" l="1"/>
  <c r="L14" i="7"/>
  <c r="L12" i="7"/>
  <c r="M12" i="7"/>
  <c r="L10" i="7"/>
  <c r="M10" i="7"/>
  <c r="L9" i="7"/>
  <c r="M9" i="7"/>
  <c r="F7" i="6"/>
  <c r="I7" i="6" s="1"/>
  <c r="E12" i="6"/>
  <c r="F12" i="6" s="1"/>
  <c r="L16" i="7"/>
  <c r="M16" i="7"/>
  <c r="L15" i="7"/>
  <c r="M15" i="7"/>
  <c r="L11" i="7"/>
  <c r="M11" i="7"/>
  <c r="L13" i="7"/>
  <c r="M13" i="7"/>
  <c r="L8" i="7"/>
  <c r="M8" i="7"/>
  <c r="L7" i="7"/>
  <c r="M7" i="7"/>
  <c r="N19" i="5"/>
  <c r="M19" i="5"/>
  <c r="H12" i="6"/>
  <c r="E19" i="3"/>
  <c r="M17" i="7" l="1"/>
</calcChain>
</file>

<file path=xl/sharedStrings.xml><?xml version="1.0" encoding="utf-8"?>
<sst xmlns="http://schemas.openxmlformats.org/spreadsheetml/2006/main" count="461" uniqueCount="234">
  <si>
    <t>REAL ESTATE SERVICES — GLOBAL FACILITIES &amp; CONSTRUCTION</t>
  </si>
  <si>
    <t>Management Information System (MIS) Dashboard  |  Business Execution Team — APAC</t>
  </si>
  <si>
    <t>Prepared by:</t>
  </si>
  <si>
    <t>Amit Kumar  |  Data Analyst</t>
  </si>
  <si>
    <t>Role Applied:</t>
  </si>
  <si>
    <t>Report Period:</t>
  </si>
  <si>
    <t>FY 2024-25  |  Monthly Rolling</t>
  </si>
  <si>
    <t>Last Updated:</t>
  </si>
  <si>
    <t>June 2025</t>
  </si>
  <si>
    <t>📊 Executive Summary</t>
  </si>
  <si>
    <t>🏗️ Project Tracker</t>
  </si>
  <si>
    <t>KPI overview &amp; senior leadership view</t>
  </si>
  <si>
    <t>Active F&amp;C projects, milestones &amp; status</t>
  </si>
  <si>
    <t>💰 Budget &amp; Cost MIS</t>
  </si>
  <si>
    <t>📈 Performance Analysis</t>
  </si>
  <si>
    <t>Capex/Opex tracking &amp; variance analysis</t>
  </si>
  <si>
    <t>Regional &amp; category performance deep-dive</t>
  </si>
  <si>
    <t>🌏 APAC Regional View</t>
  </si>
  <si>
    <t>📋 Data Repository</t>
  </si>
  <si>
    <t>Country-level facilities &amp; project breakdown</t>
  </si>
  <si>
    <t>Raw data source — all calculations linked here</t>
  </si>
  <si>
    <t>PROJECT MASTER DATA</t>
  </si>
  <si>
    <t>Project_ID</t>
  </si>
  <si>
    <t>Project_Name</t>
  </si>
  <si>
    <t>Region</t>
  </si>
  <si>
    <t>Country</t>
  </si>
  <si>
    <t>Category</t>
  </si>
  <si>
    <t>Status</t>
  </si>
  <si>
    <t>Budget_USD</t>
  </si>
  <si>
    <t>Actual_Spend</t>
  </si>
  <si>
    <t>Start_Date</t>
  </si>
  <si>
    <t>End_Date</t>
  </si>
  <si>
    <t>PM_Name</t>
  </si>
  <si>
    <t>Completion_Pct</t>
  </si>
  <si>
    <t>Priority</t>
  </si>
  <si>
    <t>Risk_Level</t>
  </si>
  <si>
    <t>Vendor</t>
  </si>
  <si>
    <t>P001</t>
  </si>
  <si>
    <t>APAC HQ Renovation</t>
  </si>
  <si>
    <t>APAC</t>
  </si>
  <si>
    <t>Singapore</t>
  </si>
  <si>
    <t>Interior Fit-out</t>
  </si>
  <si>
    <t>In Progress</t>
  </si>
  <si>
    <t>2024-04-01</t>
  </si>
  <si>
    <t>2025-03-31</t>
  </si>
  <si>
    <t>Ravi Sharma</t>
  </si>
  <si>
    <t>High</t>
  </si>
  <si>
    <t>Medium</t>
  </si>
  <si>
    <t>BuildCo Pte</t>
  </si>
  <si>
    <t>P002</t>
  </si>
  <si>
    <t>Mumbai Office Expansion</t>
  </si>
  <si>
    <t>India</t>
  </si>
  <si>
    <t>Space Planning</t>
  </si>
  <si>
    <t>2024-07-01</t>
  </si>
  <si>
    <t>2025-06-30</t>
  </si>
  <si>
    <t>Priya Nair</t>
  </si>
  <si>
    <t>Low</t>
  </si>
  <si>
    <t>SpaceMax India</t>
  </si>
  <si>
    <t>P003</t>
  </si>
  <si>
    <t>Tokyo Data Centre</t>
  </si>
  <si>
    <t>Japan</t>
  </si>
  <si>
    <t>MEP</t>
  </si>
  <si>
    <t>Completed</t>
  </si>
  <si>
    <t>2023-10-01</t>
  </si>
  <si>
    <t>2024-09-30</t>
  </si>
  <si>
    <t>Kenji Tanaka</t>
  </si>
  <si>
    <t>Critical</t>
  </si>
  <si>
    <t>TechBuild JP</t>
  </si>
  <si>
    <t>P004</t>
  </si>
  <si>
    <t>Sydney Office Refurb</t>
  </si>
  <si>
    <t>Australia</t>
  </si>
  <si>
    <t>2024-01-15</t>
  </si>
  <si>
    <t>2024-08-15</t>
  </si>
  <si>
    <t>Sarah Lee</t>
  </si>
  <si>
    <t>AusBuild Pty</t>
  </si>
  <si>
    <t>P005</t>
  </si>
  <si>
    <t>Bangkok Regional Hub</t>
  </si>
  <si>
    <t>Thailand</t>
  </si>
  <si>
    <t>New Build</t>
  </si>
  <si>
    <t>On Hold</t>
  </si>
  <si>
    <t>2024-09-01</t>
  </si>
  <si>
    <t>2026-03-31</t>
  </si>
  <si>
    <t>Somchai P.</t>
  </si>
  <si>
    <t>ThaiConstruct</t>
  </si>
  <si>
    <t>P006</t>
  </si>
  <si>
    <t>Hong Kong Fit-out</t>
  </si>
  <si>
    <t>Hong Kong</t>
  </si>
  <si>
    <t>2024-10-01</t>
  </si>
  <si>
    <t>2025-04-30</t>
  </si>
  <si>
    <t>Amy Chan</t>
  </si>
  <si>
    <t>HK Build Ltd</t>
  </si>
  <si>
    <t>P007</t>
  </si>
  <si>
    <t>Seoul Tech Campus</t>
  </si>
  <si>
    <t>South Korea</t>
  </si>
  <si>
    <t>Planning</t>
  </si>
  <si>
    <t>2025-01-01</t>
  </si>
  <si>
    <t>2027-06-30</t>
  </si>
  <si>
    <t>Kim Jaeho</t>
  </si>
  <si>
    <t>KorBuild Co</t>
  </si>
  <si>
    <t>P008</t>
  </si>
  <si>
    <t>Jakarta Fit-out</t>
  </si>
  <si>
    <t>Indonesia</t>
  </si>
  <si>
    <t>2024-11-01</t>
  </si>
  <si>
    <t>2025-05-31</t>
  </si>
  <si>
    <t>Budi Santoso</t>
  </si>
  <si>
    <t>IndoBuild</t>
  </si>
  <si>
    <t>P009</t>
  </si>
  <si>
    <t>Manila Office Upgrade</t>
  </si>
  <si>
    <t>Philippines</t>
  </si>
  <si>
    <t>Renovation</t>
  </si>
  <si>
    <t>2025-07-31</t>
  </si>
  <si>
    <t>Maria Santos</t>
  </si>
  <si>
    <t>PhilBuild</t>
  </si>
  <si>
    <t>P010</t>
  </si>
  <si>
    <t>Kuala Lumpur Expansion</t>
  </si>
  <si>
    <t>Malaysia</t>
  </si>
  <si>
    <t>2024-03-01</t>
  </si>
  <si>
    <t>2024-11-30</t>
  </si>
  <si>
    <t>Ahmad Razak</t>
  </si>
  <si>
    <t>MalayBuild</t>
  </si>
  <si>
    <t>P011</t>
  </si>
  <si>
    <t>Chennai DC Upgrade</t>
  </si>
  <si>
    <t>2024-08-01</t>
  </si>
  <si>
    <t>2025-08-31</t>
  </si>
  <si>
    <t>Suresh Kumar</t>
  </si>
  <si>
    <t>TechInfra IN</t>
  </si>
  <si>
    <t>P012</t>
  </si>
  <si>
    <t>Bangalore Campus Phase2</t>
  </si>
  <si>
    <t>2025-06-01</t>
  </si>
  <si>
    <t>2028-05-31</t>
  </si>
  <si>
    <t>Deepa Reddy</t>
  </si>
  <si>
    <t>InfraBuild IN</t>
  </si>
  <si>
    <t>MONTHLY FINANCIAL SUMMARY</t>
  </si>
  <si>
    <t>Month</t>
  </si>
  <si>
    <t>Capex_Budget</t>
  </si>
  <si>
    <t>Capex_Actual</t>
  </si>
  <si>
    <t>Opex_Budget</t>
  </si>
  <si>
    <t>Opex_Actual</t>
  </si>
  <si>
    <t>Projects_Active</t>
  </si>
  <si>
    <t>Projects_Completed</t>
  </si>
  <si>
    <t>Savings_USD</t>
  </si>
  <si>
    <t>Efficiency_Score</t>
  </si>
  <si>
    <t>Apr-24</t>
  </si>
  <si>
    <t>APAC Others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</si>
  <si>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</si>
  <si>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</si>
  <si>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</si>
  <si>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</si>
  <si>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</si>
  <si>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</si>
  <si>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</si>
  <si>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</si>
  <si>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</si>
  <si>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</si>
  <si>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</si>
  <si>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EXECUTIVE SUMMARY  |  Real Estate Services — Global F&amp;C  |  FY 2024-25</t>
  </si>
  <si>
    <t>KEY PERFORMANCE INDICATORS</t>
  </si>
  <si>
    <t>Total Active Projects</t>
  </si>
  <si>
    <t>Total Budget (USD)</t>
  </si>
  <si>
    <t>Actual Spend YTD</t>
  </si>
  <si>
    <t>Budget Variance</t>
  </si>
  <si>
    <t>Avg Completion Score</t>
  </si>
  <si>
    <t>12</t>
  </si>
  <si>
    <t>$32.4M</t>
  </si>
  <si>
    <t>$18.7M</t>
  </si>
  <si>
    <t>▲ 3.2%</t>
  </si>
  <si>
    <t>74%</t>
  </si>
  <si>
    <t>▲ +2 vs prior quarter</t>
  </si>
  <si>
    <t>FY 2024-25 Approved</t>
  </si>
  <si>
    <t>58% of full-year budget</t>
  </si>
  <si>
    <t>Slightly over (+$620K)</t>
  </si>
  <si>
    <t>On-time delivery rate</t>
  </si>
  <si>
    <t>PROJECT STATUS OVERVIEW  (Source: Data_Repository — Project Master)</t>
  </si>
  <si>
    <t>Count</t>
  </si>
  <si>
    <t>Budget (USD)</t>
  </si>
  <si>
    <t>Spent (USD)</t>
  </si>
  <si>
    <t>% Budget Used</t>
  </si>
  <si>
    <t>Avg Completion</t>
  </si>
  <si>
    <t>Risk Flag</t>
  </si>
  <si>
    <t>TOTAL</t>
  </si>
  <si>
    <t>PROJECT TRACKER  |  Global F&amp;C Active Portfolio  |  FY 2024-25</t>
  </si>
  <si>
    <t>Total Projects</t>
  </si>
  <si>
    <t>Avg Risk</t>
  </si>
  <si>
    <t>Critical Count</t>
  </si>
  <si>
    <t>Project ID</t>
  </si>
  <si>
    <t>Project Name</t>
  </si>
  <si>
    <t>Budget USD</t>
  </si>
  <si>
    <t>Actual Spend</t>
  </si>
  <si>
    <t>Variance</t>
  </si>
  <si>
    <t>Var %</t>
  </si>
  <si>
    <t>Completion %</t>
  </si>
  <si>
    <t>Risk Level</t>
  </si>
  <si>
    <t>Start Date</t>
  </si>
  <si>
    <t>End Date</t>
  </si>
  <si>
    <t>PM Name</t>
  </si>
  <si>
    <t>RAG</t>
  </si>
  <si>
    <t>BUDGET &amp; COST MIS  |  Capex / Opex Tracking &amp; Variance Analysis  |  FY 2024-25</t>
  </si>
  <si>
    <t>MONTHLY CAPEX / OPEX SUMMARY  (Aggregated from Data_Repository)</t>
  </si>
  <si>
    <t>Capex Budget</t>
  </si>
  <si>
    <t>Capex Actual</t>
  </si>
  <si>
    <t>Capex Variance</t>
  </si>
  <si>
    <t>Capex Var%</t>
  </si>
  <si>
    <t>Opex Budget</t>
  </si>
  <si>
    <t>Opex Actual</t>
  </si>
  <si>
    <t>Opex Variance</t>
  </si>
  <si>
    <t>Opex Var%</t>
  </si>
  <si>
    <t>Total Budget</t>
  </si>
  <si>
    <t>Total Actual</t>
  </si>
  <si>
    <t>Total Variance</t>
  </si>
  <si>
    <t>Savings</t>
  </si>
  <si>
    <t>Efficiency%</t>
  </si>
  <si>
    <t>FY TOTAL</t>
  </si>
  <si>
    <t>PERFORMANCE ANALYSIS  |  Regional &amp; Category Deep-Dive  |  FY 2024-25</t>
  </si>
  <si>
    <t>PERFORMANCE BY PROJECT CATEGORY</t>
  </si>
  <si>
    <t>Project Count</t>
  </si>
  <si>
    <t>Total Spend</t>
  </si>
  <si>
    <t>Efficiency</t>
  </si>
  <si>
    <t>PERFORMANCE BY REGION</t>
  </si>
  <si>
    <t>Region/Country</t>
  </si>
  <si>
    <t>Projects</t>
  </si>
  <si>
    <t>Budget</t>
  </si>
  <si>
    <t>Actual</t>
  </si>
  <si>
    <t>Var%</t>
  </si>
  <si>
    <t>RAG Status</t>
  </si>
  <si>
    <t>APAC REGIONAL VIEW  |  Country-Level Facilities &amp; Construction Dashboard  |  FY 2024-25</t>
  </si>
  <si>
    <t>APAC PORTFOLIO SNAPSHOT  |  All values in USD  |  Data Source: Data_Repository</t>
  </si>
  <si>
    <t>Active</t>
  </si>
  <si>
    <t>YTD Spend</t>
  </si>
  <si>
    <t>Budget Util%</t>
  </si>
  <si>
    <t>High Risk</t>
  </si>
  <si>
    <t>Country Score</t>
  </si>
  <si>
    <t>APAC TOTAL</t>
  </si>
  <si>
    <t>Data Role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</si>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</sst>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0.0"/>
  </numFmts>
  <fonts count="22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3"/>
      <color rgb="FF00B0F0"/>
      <name val="Arial"/>
      <charset val="1"/>
    </font>
    <font>
      <b/>
      <sz val="10"/>
      <color rgb="FF1F2D3D"/>
      <name val="Arial"/>
      <charset val="1"/>
    </font>
    <font>
      <sz val="10"/>
      <color rgb="FF595959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sz val="9"/>
      <color rgb="FF595959"/>
      <name val="Arial"/>
      <charset val="1"/>
    </font>
    <font>
      <i/>
      <sz val="8"/>
      <color rgb="FF595959"/>
      <name val="Arial"/>
      <charset val="1"/>
    </font>
    <font>
      <sz val="9"/>
      <name val="Arial"/>
      <charset val="1"/>
    </font>
    <font>
      <b/>
      <sz val="14"/>
      <color rgb="FFFFFFFF"/>
      <name val="Arial"/>
      <charset val="1"/>
    </font>
    <font>
      <b/>
      <sz val="9"/>
      <color rgb="FFFFFFFF"/>
      <name val="Arial"/>
      <charset val="1"/>
    </font>
    <font>
      <b/>
      <sz val="16"/>
      <color rgb="FFFFFFFF"/>
      <name val="Arial"/>
      <charset val="1"/>
    </font>
    <font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b/>
      <sz val="8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0000FF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00B0F0"/>
        <bgColor rgb="FF4BACC6"/>
      </patternFill>
    </fill>
    <fill>
      <patternFill patternType="solid">
        <fgColor rgb="FF2E75B6"/>
        <bgColor rgb="FF4472C4"/>
      </patternFill>
    </fill>
    <fill>
      <patternFill patternType="solid">
        <fgColor rgb="FF2E8B57"/>
        <bgColor rgb="FF2E75B6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8B4513"/>
        <bgColor rgb="FFBE4B48"/>
      </patternFill>
    </fill>
    <fill>
      <patternFill patternType="solid">
        <fgColor rgb="FF8B008B"/>
        <bgColor rgb="FF800080"/>
      </patternFill>
    </fill>
    <fill>
      <patternFill patternType="solid">
        <fgColor rgb="FF006400"/>
        <bgColor rgb="FF003300"/>
      </patternFill>
    </fill>
    <fill>
      <patternFill patternType="solid">
        <fgColor rgb="FF595959"/>
        <bgColor rgb="FF8064A2"/>
      </patternFill>
    </fill>
    <fill>
      <patternFill patternType="solid">
        <fgColor rgb="FF4472C4"/>
        <bgColor rgb="FF4A7EBB"/>
      </patternFill>
    </fill>
    <fill>
      <patternFill patternType="solid">
        <fgColor rgb="FFBDD7EE"/>
        <bgColor rgb="FFD9D9D9"/>
      </patternFill>
    </fill>
    <fill>
      <patternFill patternType="solid">
        <fgColor rgb="FF70AD47"/>
        <bgColor rgb="FF9BBB59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8B0000"/>
      </patternFill>
    </fill>
    <fill>
      <patternFill patternType="solid">
        <fgColor rgb="FF8B0000"/>
        <bgColor rgb="FF800000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6" fillId="11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0" fillId="3" borderId="0" xfId="0" applyFill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center" vertical="center"/>
    </xf>
    <xf numFmtId="9" fontId="9" fillId="7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64" fontId="9" fillId="6" borderId="1" xfId="0" applyNumberFormat="1" applyFont="1" applyFill="1" applyBorder="1" applyAlignment="1">
      <alignment horizontal="center" vertical="center"/>
    </xf>
    <xf numFmtId="9" fontId="9" fillId="6" borderId="1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0" fontId="16" fillId="7" borderId="1" xfId="0" applyFont="1" applyFill="1" applyBorder="1" applyAlignment="1">
      <alignment horizontal="center" vertical="center"/>
    </xf>
    <xf numFmtId="164" fontId="16" fillId="7" borderId="1" xfId="0" applyNumberFormat="1" applyFont="1" applyFill="1" applyBorder="1" applyAlignment="1">
      <alignment horizontal="center" vertical="center"/>
    </xf>
    <xf numFmtId="165" fontId="16" fillId="7" borderId="1" xfId="0" applyNumberFormat="1" applyFont="1" applyFill="1" applyBorder="1" applyAlignment="1">
      <alignment horizontal="center" vertical="center"/>
    </xf>
    <xf numFmtId="9" fontId="16" fillId="7" borderId="1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center" vertical="center"/>
    </xf>
    <xf numFmtId="164" fontId="16" fillId="6" borderId="1" xfId="0" applyNumberFormat="1" applyFont="1" applyFill="1" applyBorder="1" applyAlignment="1">
      <alignment horizontal="center" vertical="center"/>
    </xf>
    <xf numFmtId="165" fontId="16" fillId="6" borderId="1" xfId="0" applyNumberFormat="1" applyFont="1" applyFill="1" applyBorder="1" applyAlignment="1">
      <alignment horizontal="center" vertical="center"/>
    </xf>
    <xf numFmtId="9" fontId="16" fillId="6" borderId="1" xfId="0" applyNumberFormat="1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164" fontId="17" fillId="13" borderId="1" xfId="0" applyNumberFormat="1" applyFont="1" applyFill="1" applyBorder="1" applyAlignment="1">
      <alignment horizontal="center" vertical="center"/>
    </xf>
    <xf numFmtId="165" fontId="17" fillId="13" borderId="1" xfId="0" applyNumberFormat="1" applyFont="1" applyFill="1" applyBorder="1" applyAlignment="1">
      <alignment horizontal="center" vertical="center"/>
    </xf>
    <xf numFmtId="9" fontId="17" fillId="13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/>
    </xf>
    <xf numFmtId="164" fontId="19" fillId="7" borderId="1" xfId="0" applyNumberFormat="1" applyFont="1" applyFill="1" applyBorder="1" applyAlignment="1">
      <alignment horizontal="center" vertical="center"/>
    </xf>
    <xf numFmtId="165" fontId="19" fillId="7" borderId="1" xfId="0" applyNumberFormat="1" applyFont="1" applyFill="1" applyBorder="1" applyAlignment="1">
      <alignment horizontal="center" vertical="center"/>
    </xf>
    <xf numFmtId="9" fontId="19" fillId="7" borderId="1" xfId="0" applyNumberFormat="1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19" fillId="18" borderId="1" xfId="0" applyFont="1" applyFill="1" applyBorder="1" applyAlignment="1">
      <alignment horizontal="center" vertical="center"/>
    </xf>
    <xf numFmtId="164" fontId="19" fillId="18" borderId="1" xfId="0" applyNumberFormat="1" applyFont="1" applyFill="1" applyBorder="1" applyAlignment="1">
      <alignment horizontal="center" vertical="center"/>
    </xf>
    <xf numFmtId="165" fontId="19" fillId="18" borderId="1" xfId="0" applyNumberFormat="1" applyFont="1" applyFill="1" applyBorder="1" applyAlignment="1">
      <alignment horizontal="center" vertical="center"/>
    </xf>
    <xf numFmtId="9" fontId="19" fillId="18" borderId="1" xfId="0" applyNumberFormat="1" applyFont="1" applyFill="1" applyBorder="1" applyAlignment="1">
      <alignment horizontal="center" vertical="center"/>
    </xf>
    <xf numFmtId="0" fontId="20" fillId="18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64" fontId="21" fillId="13" borderId="1" xfId="0" applyNumberFormat="1" applyFont="1" applyFill="1" applyBorder="1" applyAlignment="1">
      <alignment horizontal="center" vertical="center"/>
    </xf>
    <xf numFmtId="166" fontId="19" fillId="7" borderId="1" xfId="0" applyNumberFormat="1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164" fontId="19" fillId="19" borderId="1" xfId="0" applyNumberFormat="1" applyFont="1" applyFill="1" applyBorder="1" applyAlignment="1">
      <alignment horizontal="center" vertical="center"/>
    </xf>
    <xf numFmtId="165" fontId="19" fillId="19" borderId="1" xfId="0" applyNumberFormat="1" applyFont="1" applyFill="1" applyBorder="1" applyAlignment="1">
      <alignment horizontal="center" vertical="center"/>
    </xf>
    <xf numFmtId="166" fontId="19" fillId="19" borderId="1" xfId="0" applyNumberFormat="1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/>
    </xf>
    <xf numFmtId="165" fontId="14" fillId="2" borderId="1" xfId="0" applyNumberFormat="1" applyFont="1" applyFill="1" applyBorder="1" applyAlignment="1">
      <alignment horizontal="center" vertical="center"/>
    </xf>
    <xf numFmtId="166" fontId="14" fillId="2" borderId="1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164" fontId="19" fillId="6" borderId="1" xfId="0" applyNumberFormat="1" applyFont="1" applyFill="1" applyBorder="1" applyAlignment="1">
      <alignment horizontal="center" vertical="center"/>
    </xf>
    <xf numFmtId="165" fontId="19" fillId="6" borderId="1" xfId="0" applyNumberFormat="1" applyFont="1" applyFill="1" applyBorder="1" applyAlignment="1">
      <alignment horizontal="center" vertical="center"/>
    </xf>
    <xf numFmtId="9" fontId="19" fillId="6" borderId="1" xfId="0" applyNumberFormat="1" applyFont="1" applyFill="1" applyBorder="1" applyAlignment="1">
      <alignment horizontal="center" vertical="center"/>
    </xf>
    <xf numFmtId="9" fontId="14" fillId="2" borderId="1" xfId="0" applyNumberFormat="1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left" vertical="center"/>
    </xf>
    <xf numFmtId="0" fontId="17" fillId="7" borderId="1" xfId="0" applyFont="1" applyFill="1" applyBorder="1"/>
    <xf numFmtId="166" fontId="20" fillId="7" borderId="1" xfId="0" applyNumberFormat="1" applyFont="1" applyFill="1" applyBorder="1" applyAlignment="1">
      <alignment horizontal="center" vertical="center"/>
    </xf>
    <xf numFmtId="0" fontId="17" fillId="13" borderId="1" xfId="0" applyFont="1" applyFill="1" applyBorder="1"/>
    <xf numFmtId="0" fontId="19" fillId="13" borderId="1" xfId="0" applyFont="1" applyFill="1" applyBorder="1" applyAlignment="1">
      <alignment horizontal="center" vertical="center"/>
    </xf>
    <xf numFmtId="164" fontId="19" fillId="13" borderId="1" xfId="0" applyNumberFormat="1" applyFont="1" applyFill="1" applyBorder="1" applyAlignment="1">
      <alignment horizontal="center" vertical="center"/>
    </xf>
    <xf numFmtId="165" fontId="19" fillId="13" borderId="1" xfId="0" applyNumberFormat="1" applyFont="1" applyFill="1" applyBorder="1" applyAlignment="1">
      <alignment horizontal="center" vertical="center"/>
    </xf>
    <xf numFmtId="9" fontId="19" fillId="13" borderId="1" xfId="0" applyNumberFormat="1" applyFont="1" applyFill="1" applyBorder="1" applyAlignment="1">
      <alignment horizontal="center" vertical="center"/>
    </xf>
    <xf numFmtId="166" fontId="20" fillId="13" borderId="1" xfId="0" applyNumberFormat="1" applyFont="1" applyFill="1" applyBorder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0" fillId="14" borderId="0" xfId="0" applyFill="1"/>
    <xf numFmtId="0" fontId="18" fillId="4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18" fillId="15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center" vertical="center"/>
    </xf>
    <xf numFmtId="0" fontId="18" fillId="16" borderId="0" xfId="0" applyFont="1" applyFill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16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0" fillId="15" borderId="0" xfId="0" applyFill="1"/>
    <xf numFmtId="0" fontId="0" fillId="9" borderId="0" xfId="0" applyFill="1"/>
    <xf numFmtId="0" fontId="14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400"/>
      <rgbColor rgb="FF000080"/>
      <rgbColor rgb="FF808000"/>
      <rgbColor rgb="FF8B008B"/>
      <rgbColor rgb="FF4A7EBB"/>
      <rgbColor rgb="FFBFBFBF"/>
      <rgbColor rgb="FF878787"/>
      <rgbColor rgb="FF9999FF"/>
      <rgbColor rgb="FFBE4B48"/>
      <rgbColor rgb="FFFFF2CC"/>
      <rgbColor rgb="FFF2F2F2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B0F0"/>
      <rgbColor rgb="FFF9F9F9"/>
      <rgbColor rgb="FFE2EFDA"/>
      <rgbColor rgb="FFFFFF99"/>
      <rgbColor rgb="FF99CCFF"/>
      <rgbColor rgb="FFFF99CC"/>
      <rgbColor rgb="FFCC99FF"/>
      <rgbColor rgb="FFD9D9D9"/>
      <rgbColor rgb="FF4472C4"/>
      <rgbColor rgb="FF4BACC6"/>
      <rgbColor rgb="FF9BBB59"/>
      <rgbColor rgb="FFFFC000"/>
      <rgbColor rgb="FFFF9900"/>
      <rgbColor rgb="FFFF6600"/>
      <rgbColor rgb="FF8064A2"/>
      <rgbColor rgb="FF70AD47"/>
      <rgbColor rgb="FF003366"/>
      <rgbColor rgb="FF2E8B57"/>
      <rgbColor rgb="FF003300"/>
      <rgbColor rgb="FF333300"/>
      <rgbColor rgb="FF8B4513"/>
      <rgbColor rgb="FFC0504D"/>
      <rgbColor rgb="FF59595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Budget vs Actual Spend by Project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Executive_Summary!$C$14</c:f>
              <c:strCache>
                <c:ptCount val="1"/>
                <c:pt idx="0">
                  <c:v>Budget (USD)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Executive_Summary!$A$15:$A$18</c:f>
              <c:strCache>
                <c:ptCount val="4"/>
                <c:pt idx="0">
                  <c:v>In Progress</c:v>
                </c:pt>
                <c:pt idx="1">
                  <c:v>Completed</c:v>
                </c:pt>
                <c:pt idx="2">
                  <c:v>On Hold</c:v>
                </c:pt>
                <c:pt idx="3">
                  <c:v>Planning</c:v>
                </c:pt>
              </c:strCache>
            </c:strRef>
          </c:cat>
          <c:val>
            <c:numRef>
              <c:f>Executive_Summary!$C$15:$C$18</c:f>
              <c:numCache>
                <c:formatCode>\$#,##0</c:formatCode>
                <c:ptCount val="4"/>
                <c:pt idx="0">
                  <c:v>9270000</c:v>
                </c:pt>
                <c:pt idx="1">
                  <c:v>6030000</c:v>
                </c:pt>
                <c:pt idx="2">
                  <c:v>3100000</c:v>
                </c:pt>
                <c:pt idx="3">
                  <c:v>13000000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31-45F1-A2E7-808B17DBAFFC}"/>
            </c:ext>
          </c:extLst>
        </c:ser>
        <c:ser>
          <c:idx val="1"/>
          <c:order val="1"/>
          <c:tx>
            <c:strRef>
              <c:f>Executive_Summary!$D$14</c:f>
              <c:strCache>
                <c:ptCount val="1"/>
                <c:pt idx="0">
                  <c:v>Spent (USD)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Executive_Summary!$A$15:$A$18</c:f>
              <c:strCache>
                <c:ptCount val="4"/>
                <c:pt idx="0">
                  <c:v>In Progress</c:v>
                </c:pt>
                <c:pt idx="1">
                  <c:v>Completed</c:v>
                </c:pt>
                <c:pt idx="2">
                  <c:v>On Hold</c:v>
                </c:pt>
                <c:pt idx="3">
                  <c:v>Planning</c:v>
                </c:pt>
              </c:strCache>
            </c:strRef>
          </c:cat>
          <c:val>
            <c:numRef>
              <c:f>Executive_Summary!$D$15:$D$18</c:f>
              <c:numCache>
                <c:formatCode>\$#,##0</c:formatCode>
                <c:ptCount val="4"/>
                <c:pt idx="0">
                  <c:v>5495000</c:v>
                </c:pt>
                <c:pt idx="1">
                  <c:v>6090000</c:v>
                </c:pt>
                <c:pt idx="2">
                  <c:v>620000</c:v>
                </c:pt>
                <c:pt idx="3">
                  <c:v>260000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31-45F1-A2E7-808B17DBA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18046"/>
        <c:axId val="62446934"/>
      </c:barChart>
      <c:catAx>
        <c:axId val="411180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446934"/>
        <c:crosses val="autoZero"/>
        <c:auto val="1"/>
        <c:lblAlgn val="ctr"/>
        <c:lblOffset val="100"/>
        <c:noMultiLvlLbl val="0"/>
      </c:catAx>
      <c:valAx>
        <c:axId val="624469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1180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Capex: Budget vs Actual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Budget_Cost_MIS!$B$6</c:f>
              <c:strCache>
                <c:ptCount val="1"/>
                <c:pt idx="0">
                  <c:v>Capex Budget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Budget_Cost_MIS!$A$7:$A$18</c:f>
              <c:strCache>
                <c:ptCount val="12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</c:strCache>
            </c:strRef>
          </c:cat>
          <c:val>
            <c:numRef>
              <c:f>Budget_Cost_MIS!$B$7:$B$18</c:f>
              <c:numCache>
                <c:formatCode>\$#,##0</c:formatCode>
                <c:ptCount val="12"/>
                <c:pt idx="0">
                  <c:v>2240975</c:v>
                </c:pt>
                <c:pt idx="1">
                  <c:v>1368106</c:v>
                </c:pt>
                <c:pt idx="2">
                  <c:v>2771036</c:v>
                </c:pt>
                <c:pt idx="3">
                  <c:v>962489</c:v>
                </c:pt>
                <c:pt idx="4">
                  <c:v>955649</c:v>
                </c:pt>
                <c:pt idx="5">
                  <c:v>2042825</c:v>
                </c:pt>
                <c:pt idx="6">
                  <c:v>2597498</c:v>
                </c:pt>
                <c:pt idx="7">
                  <c:v>2364104</c:v>
                </c:pt>
                <c:pt idx="8">
                  <c:v>2501163</c:v>
                </c:pt>
                <c:pt idx="9">
                  <c:v>1652834</c:v>
                </c:pt>
                <c:pt idx="10">
                  <c:v>991122</c:v>
                </c:pt>
                <c:pt idx="11">
                  <c:v>1693844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88-4037-8F4A-28979539DA3A}"/>
            </c:ext>
          </c:extLst>
        </c:ser>
        <c:ser>
          <c:idx val="1"/>
          <c:order val="1"/>
          <c:tx>
            <c:strRef>
              <c:f>Budget_Cost_MIS!$C$6</c:f>
              <c:strCache>
                <c:ptCount val="1"/>
                <c:pt idx="0">
                  <c:v>Capex Actual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Budget_Cost_MIS!$A$7:$A$18</c:f>
              <c:strCache>
                <c:ptCount val="12"/>
                <c:pt idx="0">
                  <c:v>Apr-24</c:v>
                </c:pt>
                <c:pt idx="1">
                  <c:v>May-24</c:v>
                </c:pt>
                <c:pt idx="2">
                  <c:v>Jun-24</c:v>
                </c:pt>
                <c:pt idx="3">
                  <c:v>Jul-24</c:v>
                </c:pt>
                <c:pt idx="4">
                  <c:v>Aug-24</c:v>
                </c:pt>
                <c:pt idx="5">
                  <c:v>Sep-24</c:v>
                </c:pt>
                <c:pt idx="6">
                  <c:v>Oct-24</c:v>
                </c:pt>
                <c:pt idx="7">
                  <c:v>Nov-24</c:v>
                </c:pt>
                <c:pt idx="8">
                  <c:v>Dec-24</c:v>
                </c:pt>
                <c:pt idx="9">
                  <c:v>Jan-25</c:v>
                </c:pt>
                <c:pt idx="10">
                  <c:v>Feb-25</c:v>
                </c:pt>
                <c:pt idx="11">
                  <c:v>Mar-25</c:v>
                </c:pt>
              </c:strCache>
            </c:strRef>
          </c:cat>
          <c:val>
            <c:numRef>
              <c:f>Budget_Cost_MIS!$C$7:$C$18</c:f>
              <c:numCache>
                <c:formatCode>\$#,##0</c:formatCode>
                <c:ptCount val="12"/>
                <c:pt idx="0">
                  <c:v>1912446</c:v>
                </c:pt>
                <c:pt idx="1">
                  <c:v>1179117</c:v>
                </c:pt>
                <c:pt idx="2">
                  <c:v>2725618</c:v>
                </c:pt>
                <c:pt idx="3">
                  <c:v>816295</c:v>
                </c:pt>
                <c:pt idx="4">
                  <c:v>944538</c:v>
                </c:pt>
                <c:pt idx="5">
                  <c:v>1932218</c:v>
                </c:pt>
                <c:pt idx="6">
                  <c:v>2807350</c:v>
                </c:pt>
                <c:pt idx="7">
                  <c:v>2238296</c:v>
                </c:pt>
                <c:pt idx="8">
                  <c:v>2303517</c:v>
                </c:pt>
                <c:pt idx="9">
                  <c:v>1775554</c:v>
                </c:pt>
                <c:pt idx="10">
                  <c:v>1029696</c:v>
                </c:pt>
                <c:pt idx="11">
                  <c:v>1428994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688-4037-8F4A-28979539D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1169661"/>
        <c:axId val="30268663"/>
      </c:lineChart>
      <c:catAx>
        <c:axId val="811696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268663"/>
        <c:crosses val="autoZero"/>
        <c:auto val="1"/>
        <c:lblAlgn val="ctr"/>
        <c:lblOffset val="100"/>
        <c:noMultiLvlLbl val="0"/>
      </c:catAx>
      <c:valAx>
        <c:axId val="302686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1696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Spend Distribution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Performance_Analysis!$D$6</c:f>
              <c:strCache>
                <c:ptCount val="1"/>
                <c:pt idx="0">
                  <c:v>Total Spend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FF43-44AE-B025-8043CA23B84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FF43-44AE-B025-8043CA23B84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FF43-44AE-B025-8043CA23B846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FF43-44AE-B025-8043CA23B846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FF43-44AE-B025-8043CA23B846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F43-44AE-B025-8043CA23B846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F43-44AE-B025-8043CA23B846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F43-44AE-B025-8043CA23B846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FF43-44AE-B025-8043CA23B846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FF43-44AE-B025-8043CA23B8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Performance_Analysis!$A$7:$A$11</c:f>
              <c:strCache>
                <c:ptCount val="5"/>
                <c:pt idx="0">
                  <c:v>Interior Fit-out</c:v>
                </c:pt>
                <c:pt idx="1">
                  <c:v>New Build</c:v>
                </c:pt>
                <c:pt idx="2">
                  <c:v>MEP</c:v>
                </c:pt>
                <c:pt idx="3">
                  <c:v>Space Planning</c:v>
                </c:pt>
                <c:pt idx="4">
                  <c:v>Renovation</c:v>
                </c:pt>
              </c:strCache>
            </c:strRef>
          </c:cat>
          <c:val>
            <c:numRef>
              <c:f>Performance_Analysis!$D$7:$D$11</c:f>
              <c:numCache>
                <c:formatCode>\$#,##0</c:formatCode>
                <c:ptCount val="5"/>
                <c:pt idx="0">
                  <c:v>3845000</c:v>
                </c:pt>
                <c:pt idx="1">
                  <c:v>880000</c:v>
                </c:pt>
                <c:pt idx="2">
                  <c:v>5670000</c:v>
                </c:pt>
                <c:pt idx="3">
                  <c:v>1760000</c:v>
                </c:pt>
                <c:pt idx="4">
                  <c:v>310000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F43-44AE-B025-8043CA23B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APAC Country Score Comparison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APAC_Regional!$M$6</c:f>
              <c:strCache>
                <c:ptCount val="1"/>
                <c:pt idx="0">
                  <c:v>Country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APAC_Regional!$A$7:$A$16</c:f>
              <c:strCache>
                <c:ptCount val="10"/>
                <c:pt idx="0">
                  <c:v>India</c:v>
                </c:pt>
                <c:pt idx="1">
                  <c:v>Singapore</c:v>
                </c:pt>
                <c:pt idx="2">
                  <c:v>Japan</c:v>
                </c:pt>
                <c:pt idx="3">
                  <c:v>Australia</c:v>
                </c:pt>
                <c:pt idx="4">
                  <c:v>Thailand</c:v>
                </c:pt>
                <c:pt idx="5">
                  <c:v>Hong Kong</c:v>
                </c:pt>
                <c:pt idx="6">
                  <c:v>South Korea</c:v>
                </c:pt>
                <c:pt idx="7">
                  <c:v>Indonesia</c:v>
                </c:pt>
                <c:pt idx="8">
                  <c:v>Philippines</c:v>
                </c:pt>
                <c:pt idx="9">
                  <c:v>Malaysia</c:v>
                </c:pt>
              </c:strCache>
            </c:strRef>
          </c:cat>
          <c:val>
            <c:numRef>
              <c:f>APAC_Regional!$M$7:$M$16</c:f>
              <c:numCache>
                <c:formatCode>0.0</c:formatCode>
                <c:ptCount val="10"/>
                <c:pt idx="0">
                  <c:v>1877</c:v>
                </c:pt>
                <c:pt idx="1">
                  <c:v>3535</c:v>
                </c:pt>
                <c:pt idx="2">
                  <c:v>5048.2</c:v>
                </c:pt>
                <c:pt idx="3">
                  <c:v>5046.3</c:v>
                </c:pt>
                <c:pt idx="4">
                  <c:v>1010</c:v>
                </c:pt>
                <c:pt idx="5">
                  <c:v>3030</c:v>
                </c:pt>
                <c:pt idx="6">
                  <c:v>101</c:v>
                </c:pt>
                <c:pt idx="7">
                  <c:v>2525</c:v>
                </c:pt>
                <c:pt idx="8">
                  <c:v>2525</c:v>
                </c:pt>
                <c:pt idx="9">
                  <c:v>5048.8999999999996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B-48B5-891F-FE7C59415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902979"/>
        <c:axId val="75923062"/>
      </c:barChart>
      <c:catAx>
        <c:axId val="9090297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Score (0-100)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923062"/>
        <c:crosses val="autoZero"/>
        <c:auto val="1"/>
        <c:lblAlgn val="ctr"/>
        <c:lblOffset val="100"/>
        <c:noMultiLvlLbl val="0"/>
      </c:catAx>
      <c:valAx>
        <c:axId val="7592306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9029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13</xdr:row>
      <xdr:rowOff>0</xdr:rowOff>
    </xdr:from>
    <xdr:to>
      <xdr:col>15</xdr:col>
      <xdr:colOff>558720</xdr:colOff>
      <xdr:row>31</xdr:row>
      <xdr:rowOff>204840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7</xdr:col>
      <xdr:colOff>785520</xdr:colOff>
      <xdr:row>43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4</xdr:row>
      <xdr:rowOff>0</xdr:rowOff>
    </xdr:from>
    <xdr:to>
      <xdr:col>15</xdr:col>
      <xdr:colOff>458280</xdr:colOff>
      <xdr:row>26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6</xdr:col>
      <xdr:colOff>558720</xdr:colOff>
      <xdr:row>45</xdr:row>
      <xdr:rowOff>86760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showGridLines="0" tabSelected="1" zoomScaleNormal="100" workbookViewId="0">
      <selection activeCell="A15" sqref="A10:XFD15"/>
    </sheetView>
  </sheetViews>
  <sheetFormatPr defaultColWidth="8.6640625" defaultRowHeight="14.4" x14ac:dyDescent="0.3"/>
  <cols>
    <col min="1" max="15" width="14" customWidth="1"/>
  </cols>
  <sheetData>
    <row r="1" spans="1:15" ht="19.5" customHeight="1" x14ac:dyDescent="0.3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ht="19.5" customHeight="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19.5" customHeigh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19.5" customHeight="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ht="19.5" customHeight="1" x14ac:dyDescent="0.3">
      <c r="A5" s="12" t="s">
        <v>1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ht="19.5" customHeight="1" x14ac:dyDescent="0.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5" ht="19.5" customHeight="1" x14ac:dyDescent="0.3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9.5" customHeight="1" x14ac:dyDescent="0.3"/>
    <row r="9" spans="1:15" ht="19.5" customHeight="1" x14ac:dyDescent="0.3"/>
    <row r="10" spans="1:15" ht="19.5" customHeight="1" x14ac:dyDescent="0.3"/>
    <row r="11" spans="1:15" ht="19.5" customHeight="1" x14ac:dyDescent="0.3">
      <c r="B11" s="10" t="s">
        <v>2</v>
      </c>
      <c r="C11" s="10"/>
      <c r="D11" s="10"/>
      <c r="E11" s="9" t="s">
        <v>3</v>
      </c>
      <c r="F11" s="9"/>
      <c r="G11" s="9"/>
      <c r="H11" s="9"/>
      <c r="I11" s="9"/>
      <c r="J11" s="9"/>
      <c r="K11" s="9"/>
    </row>
    <row r="12" spans="1:15" ht="19.5" customHeight="1" x14ac:dyDescent="0.3">
      <c r="B12" s="10" t="s">
        <v>4</v>
      </c>
      <c r="C12" s="10"/>
      <c r="D12" s="10"/>
      <c r="E12" s="9" t="s">
        <v>232</v>
      </c>
      <c r="F12" s="9"/>
      <c r="G12" s="9"/>
      <c r="H12" s="9"/>
      <c r="I12" s="9"/>
      <c r="J12" s="9"/>
      <c r="K12" s="9"/>
    </row>
    <row r="13" spans="1:15" ht="19.5" customHeight="1" x14ac:dyDescent="0.3">
      <c r="B13" s="10" t="s">
        <v>5</v>
      </c>
      <c r="C13" s="10"/>
      <c r="D13" s="10"/>
      <c r="E13" s="9" t="s">
        <v>6</v>
      </c>
      <c r="F13" s="9"/>
      <c r="G13" s="9"/>
      <c r="H13" s="9"/>
      <c r="I13" s="9"/>
      <c r="J13" s="9"/>
      <c r="K13" s="9"/>
    </row>
    <row r="14" spans="1:15" ht="19.5" customHeight="1" x14ac:dyDescent="0.3">
      <c r="B14" s="10" t="s">
        <v>7</v>
      </c>
      <c r="C14" s="10"/>
      <c r="D14" s="10"/>
      <c r="E14" s="9" t="s">
        <v>8</v>
      </c>
      <c r="F14" s="9"/>
      <c r="G14" s="9"/>
      <c r="H14" s="9"/>
      <c r="I14" s="9"/>
      <c r="J14" s="9"/>
      <c r="K14" s="9"/>
    </row>
    <row r="15" spans="1:15" ht="24.75" customHeight="1" x14ac:dyDescent="0.3">
      <c r="A15" s="8" t="s">
        <v>233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ht="19.5" customHeight="1" x14ac:dyDescent="0.3"/>
    <row r="17" spans="2:14" ht="21.75" customHeight="1" x14ac:dyDescent="0.3">
      <c r="B17" s="7" t="s">
        <v>9</v>
      </c>
      <c r="C17" s="7"/>
      <c r="D17" s="7"/>
      <c r="E17" s="7"/>
      <c r="F17" s="7"/>
      <c r="G17" s="7"/>
      <c r="I17" s="6" t="s">
        <v>10</v>
      </c>
      <c r="J17" s="6"/>
      <c r="K17" s="6"/>
      <c r="L17" s="6"/>
      <c r="M17" s="6"/>
      <c r="N17" s="6"/>
    </row>
    <row r="18" spans="2:14" ht="19.5" customHeight="1" x14ac:dyDescent="0.3">
      <c r="B18" s="5" t="s">
        <v>11</v>
      </c>
      <c r="C18" s="5"/>
      <c r="D18" s="5"/>
      <c r="E18" s="5"/>
      <c r="F18" s="5"/>
      <c r="G18" s="5"/>
      <c r="I18" s="5" t="s">
        <v>12</v>
      </c>
      <c r="J18" s="5"/>
      <c r="K18" s="5"/>
      <c r="L18" s="5"/>
      <c r="M18" s="5"/>
      <c r="N18" s="5"/>
    </row>
    <row r="19" spans="2:14" ht="19.5" customHeight="1" x14ac:dyDescent="0.3">
      <c r="B19" s="5"/>
      <c r="C19" s="5"/>
      <c r="D19" s="5"/>
      <c r="E19" s="5"/>
      <c r="F19" s="5"/>
      <c r="G19" s="5"/>
      <c r="I19" s="5"/>
      <c r="J19" s="5"/>
      <c r="K19" s="5"/>
      <c r="L19" s="5"/>
      <c r="M19" s="5"/>
      <c r="N19" s="5"/>
    </row>
    <row r="20" spans="2:14" ht="19.5" customHeight="1" x14ac:dyDescent="0.3"/>
    <row r="21" spans="2:14" ht="19.5" customHeight="1" x14ac:dyDescent="0.3"/>
    <row r="22" spans="2:14" ht="21.75" customHeight="1" x14ac:dyDescent="0.3">
      <c r="B22" s="4" t="s">
        <v>13</v>
      </c>
      <c r="C22" s="4"/>
      <c r="D22" s="4"/>
      <c r="E22" s="4"/>
      <c r="F22" s="4"/>
      <c r="G22" s="4"/>
      <c r="I22" s="3" t="s">
        <v>14</v>
      </c>
      <c r="J22" s="3"/>
      <c r="K22" s="3"/>
      <c r="L22" s="3"/>
      <c r="M22" s="3"/>
      <c r="N22" s="3"/>
    </row>
    <row r="23" spans="2:14" ht="19.5" customHeight="1" x14ac:dyDescent="0.3">
      <c r="B23" s="5" t="s">
        <v>15</v>
      </c>
      <c r="C23" s="5"/>
      <c r="D23" s="5"/>
      <c r="E23" s="5"/>
      <c r="F23" s="5"/>
      <c r="G23" s="5"/>
      <c r="I23" s="5" t="s">
        <v>16</v>
      </c>
      <c r="J23" s="5"/>
      <c r="K23" s="5"/>
      <c r="L23" s="5"/>
      <c r="M23" s="5"/>
      <c r="N23" s="5"/>
    </row>
    <row r="24" spans="2:14" ht="19.5" customHeight="1" x14ac:dyDescent="0.3">
      <c r="B24" s="5"/>
      <c r="C24" s="5"/>
      <c r="D24" s="5"/>
      <c r="E24" s="5"/>
      <c r="F24" s="5"/>
      <c r="G24" s="5"/>
      <c r="I24" s="5"/>
      <c r="J24" s="5"/>
      <c r="K24" s="5"/>
      <c r="L24" s="5"/>
      <c r="M24" s="5"/>
      <c r="N24" s="5"/>
    </row>
    <row r="25" spans="2:14" ht="19.5" customHeight="1" x14ac:dyDescent="0.3"/>
    <row r="26" spans="2:14" ht="19.5" customHeight="1" x14ac:dyDescent="0.3"/>
    <row r="27" spans="2:14" ht="21.75" customHeight="1" x14ac:dyDescent="0.3">
      <c r="B27" s="2" t="s">
        <v>17</v>
      </c>
      <c r="C27" s="2"/>
      <c r="D27" s="2"/>
      <c r="E27" s="2"/>
      <c r="F27" s="2"/>
      <c r="G27" s="2"/>
      <c r="I27" s="1" t="s">
        <v>18</v>
      </c>
      <c r="J27" s="1"/>
      <c r="K27" s="1"/>
      <c r="L27" s="1"/>
      <c r="M27" s="1"/>
      <c r="N27" s="1"/>
    </row>
    <row r="28" spans="2:14" ht="19.5" customHeight="1" x14ac:dyDescent="0.3">
      <c r="B28" s="5" t="s">
        <v>19</v>
      </c>
      <c r="C28" s="5"/>
      <c r="D28" s="5"/>
      <c r="E28" s="5"/>
      <c r="F28" s="5"/>
      <c r="G28" s="5"/>
      <c r="I28" s="5" t="s">
        <v>20</v>
      </c>
      <c r="J28" s="5"/>
      <c r="K28" s="5"/>
      <c r="L28" s="5"/>
      <c r="M28" s="5"/>
      <c r="N28" s="5"/>
    </row>
    <row r="29" spans="2:14" ht="19.5" customHeight="1" x14ac:dyDescent="0.3">
      <c r="B29" s="5"/>
      <c r="C29" s="5"/>
      <c r="D29" s="5"/>
      <c r="E29" s="5"/>
      <c r="F29" s="5"/>
      <c r="G29" s="5"/>
      <c r="I29" s="5"/>
      <c r="J29" s="5"/>
      <c r="K29" s="5"/>
      <c r="L29" s="5"/>
      <c r="M29" s="5"/>
      <c r="N29" s="5"/>
    </row>
    <row r="30" spans="2:14" ht="19.5" customHeight="1" x14ac:dyDescent="0.3"/>
    <row r="31" spans="2:14" ht="19.5" customHeight="1" x14ac:dyDescent="0.3"/>
    <row r="32" spans="2:14" ht="19.5" customHeight="1" x14ac:dyDescent="0.3"/>
    <row r="33" spans="1:15" ht="19.5" customHeight="1" x14ac:dyDescent="0.3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</row>
    <row r="34" spans="1:15" ht="19.5" customHeight="1" x14ac:dyDescent="0.3"/>
    <row r="35" spans="1:15" ht="19.5" customHeight="1" x14ac:dyDescent="0.3"/>
  </sheetData>
  <mergeCells count="25">
    <mergeCell ref="A33:O33"/>
    <mergeCell ref="B27:G27"/>
    <mergeCell ref="I27:N27"/>
    <mergeCell ref="B28:G29"/>
    <mergeCell ref="I28:N29"/>
    <mergeCell ref="B22:G22"/>
    <mergeCell ref="I22:N22"/>
    <mergeCell ref="B23:G24"/>
    <mergeCell ref="I23:N24"/>
    <mergeCell ref="A15:O15"/>
    <mergeCell ref="B17:G17"/>
    <mergeCell ref="I17:N17"/>
    <mergeCell ref="B18:G19"/>
    <mergeCell ref="I18:N19"/>
    <mergeCell ref="B12:D12"/>
    <mergeCell ref="E12:K12"/>
    <mergeCell ref="B13:D13"/>
    <mergeCell ref="E13:K13"/>
    <mergeCell ref="B14:D14"/>
    <mergeCell ref="E14:K14"/>
    <mergeCell ref="A1:O4"/>
    <mergeCell ref="A5:O6"/>
    <mergeCell ref="A7:O7"/>
    <mergeCell ref="B11:D11"/>
    <mergeCell ref="E11:K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9"/>
  <sheetViews>
    <sheetView zoomScaleNormal="100" workbookViewId="0">
      <pane ySplit="2" topLeftCell="A76" activePane="bottomLeft" state="frozen"/>
      <selection pane="bottomLeft" activeCell="A18" sqref="A18:L18"/>
    </sheetView>
  </sheetViews>
  <sheetFormatPr defaultColWidth="8.6640625" defaultRowHeight="14.4" x14ac:dyDescent="0.3"/>
  <cols>
    <col min="1" max="1" width="10" customWidth="1"/>
    <col min="2" max="2" width="25" customWidth="1"/>
    <col min="3" max="4" width="14" customWidth="1"/>
    <col min="5" max="5" width="16" customWidth="1"/>
    <col min="6" max="6" width="13" customWidth="1"/>
    <col min="7" max="7" width="14" customWidth="1"/>
    <col min="8" max="8" width="16" customWidth="1"/>
    <col min="9" max="9" width="13" customWidth="1"/>
    <col min="10" max="11" width="14" customWidth="1"/>
    <col min="12" max="12" width="12" customWidth="1"/>
    <col min="13" max="13" width="8" customWidth="1"/>
    <col min="14" max="14" width="10" customWidth="1"/>
    <col min="15" max="15" width="14" customWidth="1"/>
  </cols>
  <sheetData>
    <row r="1" spans="1:15" ht="24.75" customHeight="1" x14ac:dyDescent="0.3">
      <c r="A1" s="8" t="s">
        <v>21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27.6" x14ac:dyDescent="0.3">
      <c r="A2" s="14" t="s">
        <v>22</v>
      </c>
      <c r="B2" s="14" t="s">
        <v>23</v>
      </c>
      <c r="C2" s="14" t="s">
        <v>24</v>
      </c>
      <c r="D2" s="14" t="s">
        <v>25</v>
      </c>
      <c r="E2" s="14" t="s">
        <v>26</v>
      </c>
      <c r="F2" s="14" t="s">
        <v>27</v>
      </c>
      <c r="G2" s="14" t="s">
        <v>28</v>
      </c>
      <c r="H2" s="14" t="s">
        <v>29</v>
      </c>
      <c r="I2" s="14" t="s">
        <v>30</v>
      </c>
      <c r="J2" s="14" t="s">
        <v>31</v>
      </c>
      <c r="K2" s="14" t="s">
        <v>32</v>
      </c>
      <c r="L2" s="14" t="s">
        <v>33</v>
      </c>
      <c r="M2" s="14" t="s">
        <v>34</v>
      </c>
      <c r="N2" s="14" t="s">
        <v>35</v>
      </c>
      <c r="O2" s="14" t="s">
        <v>36</v>
      </c>
    </row>
    <row r="3" spans="1:15" x14ac:dyDescent="0.3">
      <c r="A3" s="15" t="s">
        <v>37</v>
      </c>
      <c r="B3" s="15" t="s">
        <v>38</v>
      </c>
      <c r="C3" s="15" t="s">
        <v>39</v>
      </c>
      <c r="D3" s="15" t="s">
        <v>40</v>
      </c>
      <c r="E3" s="15" t="s">
        <v>41</v>
      </c>
      <c r="F3" s="15" t="s">
        <v>42</v>
      </c>
      <c r="G3" s="16">
        <v>2500000</v>
      </c>
      <c r="H3" s="16">
        <v>1750000</v>
      </c>
      <c r="I3" s="15" t="s">
        <v>43</v>
      </c>
      <c r="J3" s="15" t="s">
        <v>44</v>
      </c>
      <c r="K3" s="15" t="s">
        <v>45</v>
      </c>
      <c r="L3" s="17">
        <v>70</v>
      </c>
      <c r="M3" s="15" t="s">
        <v>46</v>
      </c>
      <c r="N3" s="15" t="s">
        <v>47</v>
      </c>
      <c r="O3" s="15" t="s">
        <v>48</v>
      </c>
    </row>
    <row r="4" spans="1:15" x14ac:dyDescent="0.3">
      <c r="A4" s="18" t="s">
        <v>49</v>
      </c>
      <c r="B4" s="18" t="s">
        <v>50</v>
      </c>
      <c r="C4" s="18" t="s">
        <v>39</v>
      </c>
      <c r="D4" s="18" t="s">
        <v>51</v>
      </c>
      <c r="E4" s="18" t="s">
        <v>52</v>
      </c>
      <c r="F4" s="18" t="s">
        <v>42</v>
      </c>
      <c r="G4" s="19">
        <v>1800000</v>
      </c>
      <c r="H4" s="19">
        <v>900000</v>
      </c>
      <c r="I4" s="18" t="s">
        <v>53</v>
      </c>
      <c r="J4" s="18" t="s">
        <v>54</v>
      </c>
      <c r="K4" s="18" t="s">
        <v>55</v>
      </c>
      <c r="L4" s="20">
        <v>50</v>
      </c>
      <c r="M4" s="18" t="s">
        <v>46</v>
      </c>
      <c r="N4" s="18" t="s">
        <v>56</v>
      </c>
      <c r="O4" s="18" t="s">
        <v>57</v>
      </c>
    </row>
    <row r="5" spans="1:15" x14ac:dyDescent="0.3">
      <c r="A5" s="15" t="s">
        <v>58</v>
      </c>
      <c r="B5" s="15" t="s">
        <v>59</v>
      </c>
      <c r="C5" s="15" t="s">
        <v>39</v>
      </c>
      <c r="D5" s="15" t="s">
        <v>60</v>
      </c>
      <c r="E5" s="15" t="s">
        <v>61</v>
      </c>
      <c r="F5" s="15" t="s">
        <v>62</v>
      </c>
      <c r="G5" s="16">
        <v>4200000</v>
      </c>
      <c r="H5" s="16">
        <v>4350000</v>
      </c>
      <c r="I5" s="15" t="s">
        <v>63</v>
      </c>
      <c r="J5" s="15" t="s">
        <v>64</v>
      </c>
      <c r="K5" s="15" t="s">
        <v>65</v>
      </c>
      <c r="L5" s="17">
        <v>100</v>
      </c>
      <c r="M5" s="15" t="s">
        <v>66</v>
      </c>
      <c r="N5" s="15" t="s">
        <v>46</v>
      </c>
      <c r="O5" s="15" t="s">
        <v>67</v>
      </c>
    </row>
    <row r="6" spans="1:15" x14ac:dyDescent="0.3">
      <c r="A6" s="18" t="s">
        <v>68</v>
      </c>
      <c r="B6" s="18" t="s">
        <v>69</v>
      </c>
      <c r="C6" s="18" t="s">
        <v>39</v>
      </c>
      <c r="D6" s="18" t="s">
        <v>70</v>
      </c>
      <c r="E6" s="18" t="s">
        <v>41</v>
      </c>
      <c r="F6" s="18" t="s">
        <v>62</v>
      </c>
      <c r="G6" s="19">
        <v>950000</v>
      </c>
      <c r="H6" s="19">
        <v>880000</v>
      </c>
      <c r="I6" s="18" t="s">
        <v>71</v>
      </c>
      <c r="J6" s="18" t="s">
        <v>72</v>
      </c>
      <c r="K6" s="18" t="s">
        <v>73</v>
      </c>
      <c r="L6" s="20">
        <v>100</v>
      </c>
      <c r="M6" s="18" t="s">
        <v>47</v>
      </c>
      <c r="N6" s="18" t="s">
        <v>56</v>
      </c>
      <c r="O6" s="18" t="s">
        <v>74</v>
      </c>
    </row>
    <row r="7" spans="1:15" x14ac:dyDescent="0.3">
      <c r="A7" s="15" t="s">
        <v>75</v>
      </c>
      <c r="B7" s="15" t="s">
        <v>76</v>
      </c>
      <c r="C7" s="15" t="s">
        <v>39</v>
      </c>
      <c r="D7" s="15" t="s">
        <v>77</v>
      </c>
      <c r="E7" s="15" t="s">
        <v>78</v>
      </c>
      <c r="F7" s="15" t="s">
        <v>79</v>
      </c>
      <c r="G7" s="16">
        <v>3100000</v>
      </c>
      <c r="H7" s="16">
        <v>620000</v>
      </c>
      <c r="I7" s="15" t="s">
        <v>80</v>
      </c>
      <c r="J7" s="15" t="s">
        <v>81</v>
      </c>
      <c r="K7" s="15" t="s">
        <v>82</v>
      </c>
      <c r="L7" s="17">
        <v>20</v>
      </c>
      <c r="M7" s="15" t="s">
        <v>46</v>
      </c>
      <c r="N7" s="15" t="s">
        <v>46</v>
      </c>
      <c r="O7" s="15" t="s">
        <v>83</v>
      </c>
    </row>
    <row r="8" spans="1:15" x14ac:dyDescent="0.3">
      <c r="A8" s="18" t="s">
        <v>84</v>
      </c>
      <c r="B8" s="18" t="s">
        <v>85</v>
      </c>
      <c r="C8" s="18" t="s">
        <v>39</v>
      </c>
      <c r="D8" s="18" t="s">
        <v>86</v>
      </c>
      <c r="E8" s="18" t="s">
        <v>41</v>
      </c>
      <c r="F8" s="18" t="s">
        <v>42</v>
      </c>
      <c r="G8" s="19">
        <v>1400000</v>
      </c>
      <c r="H8" s="19">
        <v>840000</v>
      </c>
      <c r="I8" s="18" t="s">
        <v>87</v>
      </c>
      <c r="J8" s="18" t="s">
        <v>88</v>
      </c>
      <c r="K8" s="18" t="s">
        <v>89</v>
      </c>
      <c r="L8" s="20">
        <v>60</v>
      </c>
      <c r="M8" s="18" t="s">
        <v>47</v>
      </c>
      <c r="N8" s="18" t="s">
        <v>47</v>
      </c>
      <c r="O8" s="18" t="s">
        <v>90</v>
      </c>
    </row>
    <row r="9" spans="1:15" x14ac:dyDescent="0.3">
      <c r="A9" s="15" t="s">
        <v>91</v>
      </c>
      <c r="B9" s="15" t="s">
        <v>92</v>
      </c>
      <c r="C9" s="15" t="s">
        <v>39</v>
      </c>
      <c r="D9" s="15" t="s">
        <v>93</v>
      </c>
      <c r="E9" s="15" t="s">
        <v>78</v>
      </c>
      <c r="F9" s="15" t="s">
        <v>94</v>
      </c>
      <c r="G9" s="16">
        <v>5500000</v>
      </c>
      <c r="H9" s="16">
        <v>110000</v>
      </c>
      <c r="I9" s="15" t="s">
        <v>95</v>
      </c>
      <c r="J9" s="15" t="s">
        <v>96</v>
      </c>
      <c r="K9" s="15" t="s">
        <v>97</v>
      </c>
      <c r="L9" s="17">
        <v>2</v>
      </c>
      <c r="M9" s="15" t="s">
        <v>66</v>
      </c>
      <c r="N9" s="15" t="s">
        <v>46</v>
      </c>
      <c r="O9" s="15" t="s">
        <v>98</v>
      </c>
    </row>
    <row r="10" spans="1:15" x14ac:dyDescent="0.3">
      <c r="A10" s="18" t="s">
        <v>99</v>
      </c>
      <c r="B10" s="18" t="s">
        <v>100</v>
      </c>
      <c r="C10" s="18" t="s">
        <v>39</v>
      </c>
      <c r="D10" s="18" t="s">
        <v>101</v>
      </c>
      <c r="E10" s="18" t="s">
        <v>41</v>
      </c>
      <c r="F10" s="18" t="s">
        <v>42</v>
      </c>
      <c r="G10" s="19">
        <v>750000</v>
      </c>
      <c r="H10" s="19">
        <v>375000</v>
      </c>
      <c r="I10" s="18" t="s">
        <v>102</v>
      </c>
      <c r="J10" s="18" t="s">
        <v>103</v>
      </c>
      <c r="K10" s="18" t="s">
        <v>104</v>
      </c>
      <c r="L10" s="20">
        <v>50</v>
      </c>
      <c r="M10" s="18" t="s">
        <v>56</v>
      </c>
      <c r="N10" s="18" t="s">
        <v>56</v>
      </c>
      <c r="O10" s="18" t="s">
        <v>105</v>
      </c>
    </row>
    <row r="11" spans="1:15" x14ac:dyDescent="0.3">
      <c r="A11" s="15" t="s">
        <v>106</v>
      </c>
      <c r="B11" s="15" t="s">
        <v>107</v>
      </c>
      <c r="C11" s="15" t="s">
        <v>39</v>
      </c>
      <c r="D11" s="15" t="s">
        <v>108</v>
      </c>
      <c r="E11" s="15" t="s">
        <v>109</v>
      </c>
      <c r="F11" s="15" t="s">
        <v>42</v>
      </c>
      <c r="G11" s="16">
        <v>620000</v>
      </c>
      <c r="H11" s="16">
        <v>310000</v>
      </c>
      <c r="I11" s="15" t="s">
        <v>95</v>
      </c>
      <c r="J11" s="15" t="s">
        <v>110</v>
      </c>
      <c r="K11" s="15" t="s">
        <v>111</v>
      </c>
      <c r="L11" s="17">
        <v>50</v>
      </c>
      <c r="M11" s="15" t="s">
        <v>47</v>
      </c>
      <c r="N11" s="15" t="s">
        <v>47</v>
      </c>
      <c r="O11" s="15" t="s">
        <v>112</v>
      </c>
    </row>
    <row r="12" spans="1:15" x14ac:dyDescent="0.3">
      <c r="A12" s="18" t="s">
        <v>113</v>
      </c>
      <c r="B12" s="18" t="s">
        <v>114</v>
      </c>
      <c r="C12" s="18" t="s">
        <v>39</v>
      </c>
      <c r="D12" s="18" t="s">
        <v>115</v>
      </c>
      <c r="E12" s="18" t="s">
        <v>52</v>
      </c>
      <c r="F12" s="18" t="s">
        <v>62</v>
      </c>
      <c r="G12" s="19">
        <v>880000</v>
      </c>
      <c r="H12" s="19">
        <v>860000</v>
      </c>
      <c r="I12" s="18" t="s">
        <v>116</v>
      </c>
      <c r="J12" s="18" t="s">
        <v>117</v>
      </c>
      <c r="K12" s="18" t="s">
        <v>118</v>
      </c>
      <c r="L12" s="20">
        <v>100</v>
      </c>
      <c r="M12" s="18" t="s">
        <v>47</v>
      </c>
      <c r="N12" s="18" t="s">
        <v>56</v>
      </c>
      <c r="O12" s="18" t="s">
        <v>119</v>
      </c>
    </row>
    <row r="13" spans="1:15" x14ac:dyDescent="0.3">
      <c r="A13" s="15" t="s">
        <v>120</v>
      </c>
      <c r="B13" s="15" t="s">
        <v>121</v>
      </c>
      <c r="C13" s="15" t="s">
        <v>39</v>
      </c>
      <c r="D13" s="15" t="s">
        <v>51</v>
      </c>
      <c r="E13" s="15" t="s">
        <v>61</v>
      </c>
      <c r="F13" s="15" t="s">
        <v>42</v>
      </c>
      <c r="G13" s="16">
        <v>2200000</v>
      </c>
      <c r="H13" s="16">
        <v>1320000</v>
      </c>
      <c r="I13" s="15" t="s">
        <v>122</v>
      </c>
      <c r="J13" s="15" t="s">
        <v>123</v>
      </c>
      <c r="K13" s="15" t="s">
        <v>124</v>
      </c>
      <c r="L13" s="17">
        <v>60</v>
      </c>
      <c r="M13" s="15" t="s">
        <v>46</v>
      </c>
      <c r="N13" s="15" t="s">
        <v>47</v>
      </c>
      <c r="O13" s="15" t="s">
        <v>125</v>
      </c>
    </row>
    <row r="14" spans="1:15" x14ac:dyDescent="0.3">
      <c r="A14" s="18" t="s">
        <v>126</v>
      </c>
      <c r="B14" s="18" t="s">
        <v>127</v>
      </c>
      <c r="C14" s="18" t="s">
        <v>39</v>
      </c>
      <c r="D14" s="18" t="s">
        <v>51</v>
      </c>
      <c r="E14" s="18" t="s">
        <v>78</v>
      </c>
      <c r="F14" s="18" t="s">
        <v>94</v>
      </c>
      <c r="G14" s="19">
        <v>7500000</v>
      </c>
      <c r="H14" s="19">
        <v>150000</v>
      </c>
      <c r="I14" s="18" t="s">
        <v>128</v>
      </c>
      <c r="J14" s="18" t="s">
        <v>129</v>
      </c>
      <c r="K14" s="18" t="s">
        <v>130</v>
      </c>
      <c r="L14" s="20">
        <v>2</v>
      </c>
      <c r="M14" s="18" t="s">
        <v>66</v>
      </c>
      <c r="N14" s="18" t="s">
        <v>46</v>
      </c>
      <c r="O14" s="18" t="s">
        <v>131</v>
      </c>
    </row>
    <row r="18" spans="1:12" ht="24.75" customHeight="1" x14ac:dyDescent="0.3">
      <c r="A18" s="8" t="s">
        <v>132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  <row r="19" spans="1:12" ht="27.6" x14ac:dyDescent="0.3">
      <c r="A19" s="21" t="s">
        <v>133</v>
      </c>
      <c r="B19" s="21" t="s">
        <v>24</v>
      </c>
      <c r="C19" s="21" t="s">
        <v>134</v>
      </c>
      <c r="D19" s="21" t="s">
        <v>135</v>
      </c>
      <c r="E19" s="21" t="s">
        <v>136</v>
      </c>
      <c r="F19" s="21" t="s">
        <v>137</v>
      </c>
      <c r="G19" s="21" t="s">
        <v>138</v>
      </c>
      <c r="H19" s="21" t="s">
        <v>139</v>
      </c>
      <c r="I19" s="21" t="s">
        <v>140</v>
      </c>
      <c r="J19" s="21" t="s">
        <v>141</v>
      </c>
    </row>
    <row r="20" spans="1:12" x14ac:dyDescent="0.3">
      <c r="A20" s="15" t="s">
        <v>142</v>
      </c>
      <c r="B20" s="15" t="s">
        <v>51</v>
      </c>
      <c r="C20" s="16">
        <v>316739</v>
      </c>
      <c r="D20" s="16">
        <v>225282</v>
      </c>
      <c r="E20" s="16">
        <v>122097</v>
      </c>
      <c r="F20" s="16">
        <v>109762</v>
      </c>
      <c r="G20" s="15">
        <v>3</v>
      </c>
      <c r="H20" s="15">
        <v>0</v>
      </c>
      <c r="I20" s="16">
        <v>91457</v>
      </c>
      <c r="J20" s="15">
        <v>85.3</v>
      </c>
    </row>
    <row r="21" spans="1:12" x14ac:dyDescent="0.3">
      <c r="A21" s="18" t="s">
        <v>142</v>
      </c>
      <c r="B21" s="18" t="s">
        <v>40</v>
      </c>
      <c r="C21" s="19">
        <v>771858</v>
      </c>
      <c r="D21" s="19">
        <v>570497</v>
      </c>
      <c r="E21" s="19">
        <v>160604</v>
      </c>
      <c r="F21" s="19">
        <v>137534</v>
      </c>
      <c r="G21" s="18">
        <v>2</v>
      </c>
      <c r="H21" s="18">
        <v>1</v>
      </c>
      <c r="I21" s="19">
        <v>201361</v>
      </c>
      <c r="J21" s="18">
        <v>72</v>
      </c>
    </row>
    <row r="22" spans="1:12" x14ac:dyDescent="0.3">
      <c r="A22" s="15" t="s">
        <v>142</v>
      </c>
      <c r="B22" s="15" t="s">
        <v>60</v>
      </c>
      <c r="C22" s="16">
        <v>227824</v>
      </c>
      <c r="D22" s="16">
        <v>217016</v>
      </c>
      <c r="E22" s="16">
        <v>192853</v>
      </c>
      <c r="F22" s="16">
        <v>180106</v>
      </c>
      <c r="G22" s="15">
        <v>5</v>
      </c>
      <c r="H22" s="15">
        <v>2</v>
      </c>
      <c r="I22" s="16">
        <v>10808</v>
      </c>
      <c r="J22" s="15">
        <v>89.3</v>
      </c>
    </row>
    <row r="23" spans="1:12" x14ac:dyDescent="0.3">
      <c r="A23" s="18" t="s">
        <v>142</v>
      </c>
      <c r="B23" s="18" t="s">
        <v>70</v>
      </c>
      <c r="C23" s="19">
        <v>206814</v>
      </c>
      <c r="D23" s="19">
        <v>215389</v>
      </c>
      <c r="E23" s="19">
        <v>91853</v>
      </c>
      <c r="F23" s="19">
        <v>90900</v>
      </c>
      <c r="G23" s="18">
        <v>4</v>
      </c>
      <c r="H23" s="18">
        <v>2</v>
      </c>
      <c r="I23" s="19">
        <v>0</v>
      </c>
      <c r="J23" s="18">
        <v>69.7</v>
      </c>
    </row>
    <row r="24" spans="1:12" x14ac:dyDescent="0.3">
      <c r="A24" s="15" t="s">
        <v>142</v>
      </c>
      <c r="B24" s="15" t="s">
        <v>143</v>
      </c>
      <c r="C24" s="16">
        <v>552944</v>
      </c>
      <c r="D24" s="16">
        <v>412493</v>
      </c>
      <c r="E24" s="16">
        <v>149595</v>
      </c>
      <c r="F24" s="16">
        <v>130049</v>
      </c>
      <c r="G24" s="15">
        <v>8</v>
      </c>
      <c r="H24" s="15">
        <v>2</v>
      </c>
      <c r="I24" s="16">
        <v>140451</v>
      </c>
      <c r="J24" s="15">
        <v>83.1</v>
      </c>
    </row>
    <row r="25" spans="1:12" x14ac:dyDescent="0.3">
      <c r="A25" s="18" t="s">
        <v>144</v>
      </c>
      <c r="B25" s="18" t="s">
        <v>51</v>
      </c>
      <c r="C25" s="19">
        <v>245561</v>
      </c>
      <c r="D25" s="19">
        <v>252529</v>
      </c>
      <c r="E25" s="19">
        <v>190568</v>
      </c>
      <c r="F25" s="19">
        <v>166740</v>
      </c>
      <c r="G25" s="18">
        <v>5</v>
      </c>
      <c r="H25" s="18">
        <v>0</v>
      </c>
      <c r="I25" s="19">
        <v>0</v>
      </c>
      <c r="J25" s="18">
        <v>81.599999999999994</v>
      </c>
    </row>
    <row r="26" spans="1:12" x14ac:dyDescent="0.3">
      <c r="A26" s="15" t="s">
        <v>144</v>
      </c>
      <c r="B26" s="15" t="s">
        <v>40</v>
      </c>
      <c r="C26" s="16">
        <v>579201</v>
      </c>
      <c r="D26" s="16">
        <v>555922</v>
      </c>
      <c r="E26" s="16">
        <v>68233</v>
      </c>
      <c r="F26" s="16">
        <v>58623</v>
      </c>
      <c r="G26" s="15">
        <v>3</v>
      </c>
      <c r="H26" s="15">
        <v>2</v>
      </c>
      <c r="I26" s="16">
        <v>23279</v>
      </c>
      <c r="J26" s="15">
        <v>94.6</v>
      </c>
    </row>
    <row r="27" spans="1:12" x14ac:dyDescent="0.3">
      <c r="A27" s="18" t="s">
        <v>144</v>
      </c>
      <c r="B27" s="18" t="s">
        <v>60</v>
      </c>
      <c r="C27" s="19">
        <v>444098</v>
      </c>
      <c r="D27" s="19">
        <v>484030</v>
      </c>
      <c r="E27" s="19">
        <v>149647</v>
      </c>
      <c r="F27" s="19">
        <v>135519</v>
      </c>
      <c r="G27" s="18">
        <v>7</v>
      </c>
      <c r="H27" s="18">
        <v>2</v>
      </c>
      <c r="I27" s="19">
        <v>0</v>
      </c>
      <c r="J27" s="18">
        <v>69.900000000000006</v>
      </c>
    </row>
    <row r="28" spans="1:12" x14ac:dyDescent="0.3">
      <c r="A28" s="15" t="s">
        <v>144</v>
      </c>
      <c r="B28" s="15" t="s">
        <v>70</v>
      </c>
      <c r="C28" s="16">
        <v>572528</v>
      </c>
      <c r="D28" s="16">
        <v>454746</v>
      </c>
      <c r="E28" s="16">
        <v>119986</v>
      </c>
      <c r="F28" s="16">
        <v>118829</v>
      </c>
      <c r="G28" s="15">
        <v>7</v>
      </c>
      <c r="H28" s="15">
        <v>0</v>
      </c>
      <c r="I28" s="16">
        <v>117782</v>
      </c>
      <c r="J28" s="15">
        <v>83.3</v>
      </c>
    </row>
    <row r="29" spans="1:12" x14ac:dyDescent="0.3">
      <c r="A29" s="18" t="s">
        <v>144</v>
      </c>
      <c r="B29" s="18" t="s">
        <v>143</v>
      </c>
      <c r="C29" s="19">
        <v>379451</v>
      </c>
      <c r="D29" s="19">
        <v>356821</v>
      </c>
      <c r="E29" s="19">
        <v>114175</v>
      </c>
      <c r="F29" s="19">
        <v>100780</v>
      </c>
      <c r="G29" s="18">
        <v>5</v>
      </c>
      <c r="H29" s="18">
        <v>2</v>
      </c>
      <c r="I29" s="19">
        <v>22630</v>
      </c>
      <c r="J29" s="18">
        <v>94.7</v>
      </c>
    </row>
    <row r="30" spans="1:12" x14ac:dyDescent="0.3">
      <c r="A30" s="15" t="s">
        <v>145</v>
      </c>
      <c r="B30" s="15" t="s">
        <v>51</v>
      </c>
      <c r="C30" s="16">
        <v>784004</v>
      </c>
      <c r="D30" s="16">
        <v>626283</v>
      </c>
      <c r="E30" s="16">
        <v>135008</v>
      </c>
      <c r="F30" s="16">
        <v>137515</v>
      </c>
      <c r="G30" s="15">
        <v>8</v>
      </c>
      <c r="H30" s="15">
        <v>0</v>
      </c>
      <c r="I30" s="16">
        <v>157721</v>
      </c>
      <c r="J30" s="15">
        <v>71.900000000000006</v>
      </c>
    </row>
    <row r="31" spans="1:12" x14ac:dyDescent="0.3">
      <c r="A31" s="18" t="s">
        <v>145</v>
      </c>
      <c r="B31" s="18" t="s">
        <v>40</v>
      </c>
      <c r="C31" s="19">
        <v>233659</v>
      </c>
      <c r="D31" s="19">
        <v>248209</v>
      </c>
      <c r="E31" s="19">
        <v>155162</v>
      </c>
      <c r="F31" s="19">
        <v>140196</v>
      </c>
      <c r="G31" s="18">
        <v>3</v>
      </c>
      <c r="H31" s="18">
        <v>2</v>
      </c>
      <c r="I31" s="19">
        <v>0</v>
      </c>
      <c r="J31" s="18">
        <v>71.400000000000006</v>
      </c>
    </row>
    <row r="32" spans="1:12" x14ac:dyDescent="0.3">
      <c r="A32" s="15" t="s">
        <v>145</v>
      </c>
      <c r="B32" s="15" t="s">
        <v>60</v>
      </c>
      <c r="C32" s="16">
        <v>723481</v>
      </c>
      <c r="D32" s="16">
        <v>635241</v>
      </c>
      <c r="E32" s="16">
        <v>170285</v>
      </c>
      <c r="F32" s="16">
        <v>149608</v>
      </c>
      <c r="G32" s="15">
        <v>3</v>
      </c>
      <c r="H32" s="15">
        <v>1</v>
      </c>
      <c r="I32" s="16">
        <v>88240</v>
      </c>
      <c r="J32" s="15">
        <v>87.3</v>
      </c>
    </row>
    <row r="33" spans="1:10" x14ac:dyDescent="0.3">
      <c r="A33" s="18" t="s">
        <v>145</v>
      </c>
      <c r="B33" s="18" t="s">
        <v>70</v>
      </c>
      <c r="C33" s="19">
        <v>765158</v>
      </c>
      <c r="D33" s="19">
        <v>626078</v>
      </c>
      <c r="E33" s="19">
        <v>162311</v>
      </c>
      <c r="F33" s="19">
        <v>167109</v>
      </c>
      <c r="G33" s="18">
        <v>5</v>
      </c>
      <c r="H33" s="18">
        <v>2</v>
      </c>
      <c r="I33" s="19">
        <v>139080</v>
      </c>
      <c r="J33" s="18">
        <v>71.599999999999994</v>
      </c>
    </row>
    <row r="34" spans="1:10" x14ac:dyDescent="0.3">
      <c r="A34" s="15" t="s">
        <v>145</v>
      </c>
      <c r="B34" s="15" t="s">
        <v>143</v>
      </c>
      <c r="C34" s="16">
        <v>345051</v>
      </c>
      <c r="D34" s="16">
        <v>320651</v>
      </c>
      <c r="E34" s="16">
        <v>73831</v>
      </c>
      <c r="F34" s="16">
        <v>73916</v>
      </c>
      <c r="G34" s="15">
        <v>8</v>
      </c>
      <c r="H34" s="15">
        <v>0</v>
      </c>
      <c r="I34" s="16">
        <v>24400</v>
      </c>
      <c r="J34" s="15">
        <v>69.599999999999994</v>
      </c>
    </row>
    <row r="35" spans="1:10" x14ac:dyDescent="0.3">
      <c r="A35" s="18" t="s">
        <v>146</v>
      </c>
      <c r="B35" s="18" t="s">
        <v>51</v>
      </c>
      <c r="C35" s="19">
        <v>367753</v>
      </c>
      <c r="D35" s="19">
        <v>388507</v>
      </c>
      <c r="E35" s="19">
        <v>160666</v>
      </c>
      <c r="F35" s="19">
        <v>155730</v>
      </c>
      <c r="G35" s="18">
        <v>5</v>
      </c>
      <c r="H35" s="18">
        <v>3</v>
      </c>
      <c r="I35" s="19">
        <v>0</v>
      </c>
      <c r="J35" s="18">
        <v>82.9</v>
      </c>
    </row>
    <row r="36" spans="1:10" x14ac:dyDescent="0.3">
      <c r="A36" s="15" t="s">
        <v>146</v>
      </c>
      <c r="B36" s="15" t="s">
        <v>40</v>
      </c>
      <c r="C36" s="16">
        <v>690785</v>
      </c>
      <c r="D36" s="16">
        <v>648026</v>
      </c>
      <c r="E36" s="16">
        <v>195024</v>
      </c>
      <c r="F36" s="16">
        <v>199344</v>
      </c>
      <c r="G36" s="15">
        <v>2</v>
      </c>
      <c r="H36" s="15">
        <v>0</v>
      </c>
      <c r="I36" s="16">
        <v>42759</v>
      </c>
      <c r="J36" s="15">
        <v>85.5</v>
      </c>
    </row>
    <row r="37" spans="1:10" x14ac:dyDescent="0.3">
      <c r="A37" s="18" t="s">
        <v>146</v>
      </c>
      <c r="B37" s="18" t="s">
        <v>60</v>
      </c>
      <c r="C37" s="19">
        <v>763054</v>
      </c>
      <c r="D37" s="19">
        <v>791969</v>
      </c>
      <c r="E37" s="19">
        <v>139174</v>
      </c>
      <c r="F37" s="19">
        <v>121402</v>
      </c>
      <c r="G37" s="18">
        <v>5</v>
      </c>
      <c r="H37" s="18">
        <v>1</v>
      </c>
      <c r="I37" s="19">
        <v>0</v>
      </c>
      <c r="J37" s="18">
        <v>78.599999999999994</v>
      </c>
    </row>
    <row r="38" spans="1:10" x14ac:dyDescent="0.3">
      <c r="A38" s="15" t="s">
        <v>146</v>
      </c>
      <c r="B38" s="15" t="s">
        <v>70</v>
      </c>
      <c r="C38" s="16">
        <v>476183</v>
      </c>
      <c r="D38" s="16">
        <v>541586</v>
      </c>
      <c r="E38" s="16">
        <v>96832</v>
      </c>
      <c r="F38" s="16">
        <v>92139</v>
      </c>
      <c r="G38" s="15">
        <v>2</v>
      </c>
      <c r="H38" s="15">
        <v>2</v>
      </c>
      <c r="I38" s="16">
        <v>0</v>
      </c>
      <c r="J38" s="15">
        <v>90.3</v>
      </c>
    </row>
    <row r="39" spans="1:10" x14ac:dyDescent="0.3">
      <c r="A39" s="18" t="s">
        <v>146</v>
      </c>
      <c r="B39" s="18" t="s">
        <v>143</v>
      </c>
      <c r="C39" s="19">
        <v>732323</v>
      </c>
      <c r="D39" s="19">
        <v>713309</v>
      </c>
      <c r="E39" s="19">
        <v>90065</v>
      </c>
      <c r="F39" s="19">
        <v>83290</v>
      </c>
      <c r="G39" s="18">
        <v>3</v>
      </c>
      <c r="H39" s="18">
        <v>0</v>
      </c>
      <c r="I39" s="19">
        <v>19014</v>
      </c>
      <c r="J39" s="18">
        <v>83</v>
      </c>
    </row>
    <row r="40" spans="1:10" x14ac:dyDescent="0.3">
      <c r="A40" s="15" t="s">
        <v>147</v>
      </c>
      <c r="B40" s="15" t="s">
        <v>51</v>
      </c>
      <c r="C40" s="16">
        <v>712340</v>
      </c>
      <c r="D40" s="16">
        <v>504881</v>
      </c>
      <c r="E40" s="16">
        <v>145153</v>
      </c>
      <c r="F40" s="16">
        <v>148889</v>
      </c>
      <c r="G40" s="15">
        <v>8</v>
      </c>
      <c r="H40" s="15">
        <v>2</v>
      </c>
      <c r="I40" s="16">
        <v>207459</v>
      </c>
      <c r="J40" s="15">
        <v>72.2</v>
      </c>
    </row>
    <row r="41" spans="1:10" x14ac:dyDescent="0.3">
      <c r="A41" s="18" t="s">
        <v>147</v>
      </c>
      <c r="B41" s="18" t="s">
        <v>40</v>
      </c>
      <c r="C41" s="19">
        <v>452572</v>
      </c>
      <c r="D41" s="19">
        <v>495613</v>
      </c>
      <c r="E41" s="19">
        <v>70645</v>
      </c>
      <c r="F41" s="19">
        <v>61258</v>
      </c>
      <c r="G41" s="18">
        <v>5</v>
      </c>
      <c r="H41" s="18">
        <v>0</v>
      </c>
      <c r="I41" s="19">
        <v>0</v>
      </c>
      <c r="J41" s="18">
        <v>94.3</v>
      </c>
    </row>
    <row r="42" spans="1:10" x14ac:dyDescent="0.3">
      <c r="A42" s="15" t="s">
        <v>147</v>
      </c>
      <c r="B42" s="15" t="s">
        <v>60</v>
      </c>
      <c r="C42" s="16">
        <v>758582</v>
      </c>
      <c r="D42" s="16">
        <v>792434</v>
      </c>
      <c r="E42" s="16">
        <v>83657</v>
      </c>
      <c r="F42" s="16">
        <v>82147</v>
      </c>
      <c r="G42" s="15">
        <v>6</v>
      </c>
      <c r="H42" s="15">
        <v>1</v>
      </c>
      <c r="I42" s="16">
        <v>0</v>
      </c>
      <c r="J42" s="15">
        <v>73</v>
      </c>
    </row>
    <row r="43" spans="1:10" x14ac:dyDescent="0.3">
      <c r="A43" s="18" t="s">
        <v>147</v>
      </c>
      <c r="B43" s="18" t="s">
        <v>70</v>
      </c>
      <c r="C43" s="19">
        <v>643692</v>
      </c>
      <c r="D43" s="19">
        <v>729923</v>
      </c>
      <c r="E43" s="19">
        <v>191373</v>
      </c>
      <c r="F43" s="19">
        <v>191574</v>
      </c>
      <c r="G43" s="18">
        <v>7</v>
      </c>
      <c r="H43" s="18">
        <v>1</v>
      </c>
      <c r="I43" s="19">
        <v>0</v>
      </c>
      <c r="J43" s="18">
        <v>86.4</v>
      </c>
    </row>
    <row r="44" spans="1:10" x14ac:dyDescent="0.3">
      <c r="A44" s="15" t="s">
        <v>147</v>
      </c>
      <c r="B44" s="15" t="s">
        <v>143</v>
      </c>
      <c r="C44" s="16">
        <v>618373</v>
      </c>
      <c r="D44" s="16">
        <v>709779</v>
      </c>
      <c r="E44" s="16">
        <v>147889</v>
      </c>
      <c r="F44" s="16">
        <v>138663</v>
      </c>
      <c r="G44" s="15">
        <v>6</v>
      </c>
      <c r="H44" s="15">
        <v>3</v>
      </c>
      <c r="I44" s="16">
        <v>0</v>
      </c>
      <c r="J44" s="15">
        <v>68.599999999999994</v>
      </c>
    </row>
    <row r="45" spans="1:10" x14ac:dyDescent="0.3">
      <c r="A45" s="18" t="s">
        <v>148</v>
      </c>
      <c r="B45" s="18" t="s">
        <v>51</v>
      </c>
      <c r="C45" s="19">
        <v>435612</v>
      </c>
      <c r="D45" s="19">
        <v>317479</v>
      </c>
      <c r="E45" s="19">
        <v>55514</v>
      </c>
      <c r="F45" s="19">
        <v>53718</v>
      </c>
      <c r="G45" s="18">
        <v>3</v>
      </c>
      <c r="H45" s="18">
        <v>1</v>
      </c>
      <c r="I45" s="19">
        <v>118133</v>
      </c>
      <c r="J45" s="18">
        <v>65.2</v>
      </c>
    </row>
    <row r="46" spans="1:10" x14ac:dyDescent="0.3">
      <c r="A46" s="15" t="s">
        <v>148</v>
      </c>
      <c r="B46" s="15" t="s">
        <v>40</v>
      </c>
      <c r="C46" s="16">
        <v>261733</v>
      </c>
      <c r="D46" s="16">
        <v>210177</v>
      </c>
      <c r="E46" s="16">
        <v>58234</v>
      </c>
      <c r="F46" s="16">
        <v>59510</v>
      </c>
      <c r="G46" s="15">
        <v>2</v>
      </c>
      <c r="H46" s="15">
        <v>1</v>
      </c>
      <c r="I46" s="16">
        <v>51556</v>
      </c>
      <c r="J46" s="15">
        <v>73.400000000000006</v>
      </c>
    </row>
    <row r="47" spans="1:10" x14ac:dyDescent="0.3">
      <c r="A47" s="18" t="s">
        <v>148</v>
      </c>
      <c r="B47" s="18" t="s">
        <v>60</v>
      </c>
      <c r="C47" s="19">
        <v>708993</v>
      </c>
      <c r="D47" s="19">
        <v>564646</v>
      </c>
      <c r="E47" s="19">
        <v>84684</v>
      </c>
      <c r="F47" s="19">
        <v>84232</v>
      </c>
      <c r="G47" s="18">
        <v>6</v>
      </c>
      <c r="H47" s="18">
        <v>3</v>
      </c>
      <c r="I47" s="19">
        <v>144347</v>
      </c>
      <c r="J47" s="18">
        <v>72.3</v>
      </c>
    </row>
    <row r="48" spans="1:10" x14ac:dyDescent="0.3">
      <c r="A48" s="15" t="s">
        <v>148</v>
      </c>
      <c r="B48" s="15" t="s">
        <v>70</v>
      </c>
      <c r="C48" s="16">
        <v>695948</v>
      </c>
      <c r="D48" s="16">
        <v>740052</v>
      </c>
      <c r="E48" s="16">
        <v>99914</v>
      </c>
      <c r="F48" s="16">
        <v>86811</v>
      </c>
      <c r="G48" s="15">
        <v>7</v>
      </c>
      <c r="H48" s="15">
        <v>3</v>
      </c>
      <c r="I48" s="16">
        <v>0</v>
      </c>
      <c r="J48" s="15">
        <v>75.599999999999994</v>
      </c>
    </row>
    <row r="49" spans="1:10" x14ac:dyDescent="0.3">
      <c r="A49" s="18" t="s">
        <v>148</v>
      </c>
      <c r="B49" s="18" t="s">
        <v>143</v>
      </c>
      <c r="C49" s="19">
        <v>631071</v>
      </c>
      <c r="D49" s="19">
        <v>574376</v>
      </c>
      <c r="E49" s="19">
        <v>64200</v>
      </c>
      <c r="F49" s="19">
        <v>63216</v>
      </c>
      <c r="G49" s="18">
        <v>7</v>
      </c>
      <c r="H49" s="18">
        <v>0</v>
      </c>
      <c r="I49" s="19">
        <v>56695</v>
      </c>
      <c r="J49" s="18">
        <v>66.8</v>
      </c>
    </row>
    <row r="50" spans="1:10" x14ac:dyDescent="0.3">
      <c r="A50" s="15" t="s">
        <v>149</v>
      </c>
      <c r="B50" s="15" t="s">
        <v>51</v>
      </c>
      <c r="C50" s="16">
        <v>555784</v>
      </c>
      <c r="D50" s="16">
        <v>589279</v>
      </c>
      <c r="E50" s="16">
        <v>78644</v>
      </c>
      <c r="F50" s="16">
        <v>70758</v>
      </c>
      <c r="G50" s="15">
        <v>3</v>
      </c>
      <c r="H50" s="15">
        <v>3</v>
      </c>
      <c r="I50" s="16">
        <v>0</v>
      </c>
      <c r="J50" s="15">
        <v>69.2</v>
      </c>
    </row>
    <row r="51" spans="1:10" x14ac:dyDescent="0.3">
      <c r="A51" s="18" t="s">
        <v>149</v>
      </c>
      <c r="B51" s="18" t="s">
        <v>40</v>
      </c>
      <c r="C51" s="19">
        <v>392401</v>
      </c>
      <c r="D51" s="19">
        <v>323866</v>
      </c>
      <c r="E51" s="19">
        <v>115485</v>
      </c>
      <c r="F51" s="19">
        <v>118360</v>
      </c>
      <c r="G51" s="18">
        <v>2</v>
      </c>
      <c r="H51" s="18">
        <v>3</v>
      </c>
      <c r="I51" s="19">
        <v>68535</v>
      </c>
      <c r="J51" s="18">
        <v>89.2</v>
      </c>
    </row>
    <row r="52" spans="1:10" x14ac:dyDescent="0.3">
      <c r="A52" s="15" t="s">
        <v>149</v>
      </c>
      <c r="B52" s="15" t="s">
        <v>60</v>
      </c>
      <c r="C52" s="16">
        <v>777057</v>
      </c>
      <c r="D52" s="16">
        <v>578176</v>
      </c>
      <c r="E52" s="16">
        <v>191711</v>
      </c>
      <c r="F52" s="16">
        <v>195009</v>
      </c>
      <c r="G52" s="15">
        <v>2</v>
      </c>
      <c r="H52" s="15">
        <v>1</v>
      </c>
      <c r="I52" s="16">
        <v>198881</v>
      </c>
      <c r="J52" s="15">
        <v>70</v>
      </c>
    </row>
    <row r="53" spans="1:10" x14ac:dyDescent="0.3">
      <c r="A53" s="18" t="s">
        <v>149</v>
      </c>
      <c r="B53" s="18" t="s">
        <v>70</v>
      </c>
      <c r="C53" s="19">
        <v>709231</v>
      </c>
      <c r="D53" s="19">
        <v>650089</v>
      </c>
      <c r="E53" s="19">
        <v>155130</v>
      </c>
      <c r="F53" s="19">
        <v>159859</v>
      </c>
      <c r="G53" s="18">
        <v>3</v>
      </c>
      <c r="H53" s="18">
        <v>3</v>
      </c>
      <c r="I53" s="19">
        <v>59142</v>
      </c>
      <c r="J53" s="18">
        <v>65.099999999999994</v>
      </c>
    </row>
    <row r="54" spans="1:10" x14ac:dyDescent="0.3">
      <c r="A54" s="15" t="s">
        <v>149</v>
      </c>
      <c r="B54" s="15" t="s">
        <v>143</v>
      </c>
      <c r="C54" s="16">
        <v>609386</v>
      </c>
      <c r="D54" s="16">
        <v>499295</v>
      </c>
      <c r="E54" s="16">
        <v>169277</v>
      </c>
      <c r="F54" s="16">
        <v>153542</v>
      </c>
      <c r="G54" s="15">
        <v>7</v>
      </c>
      <c r="H54" s="15">
        <v>3</v>
      </c>
      <c r="I54" s="16">
        <v>110091</v>
      </c>
      <c r="J54" s="15">
        <v>69.599999999999994</v>
      </c>
    </row>
    <row r="55" spans="1:10" x14ac:dyDescent="0.3">
      <c r="A55" s="18" t="s">
        <v>150</v>
      </c>
      <c r="B55" s="18" t="s">
        <v>51</v>
      </c>
      <c r="C55" s="19">
        <v>511120</v>
      </c>
      <c r="D55" s="19">
        <v>407856</v>
      </c>
      <c r="E55" s="19">
        <v>65331</v>
      </c>
      <c r="F55" s="19">
        <v>63099</v>
      </c>
      <c r="G55" s="18">
        <v>6</v>
      </c>
      <c r="H55" s="18">
        <v>0</v>
      </c>
      <c r="I55" s="19">
        <v>103264</v>
      </c>
      <c r="J55" s="18">
        <v>87.4</v>
      </c>
    </row>
    <row r="56" spans="1:10" x14ac:dyDescent="0.3">
      <c r="A56" s="15" t="s">
        <v>150</v>
      </c>
      <c r="B56" s="15" t="s">
        <v>40</v>
      </c>
      <c r="C56" s="16">
        <v>259942</v>
      </c>
      <c r="D56" s="16">
        <v>187824</v>
      </c>
      <c r="E56" s="16">
        <v>174987</v>
      </c>
      <c r="F56" s="16">
        <v>166337</v>
      </c>
      <c r="G56" s="15">
        <v>8</v>
      </c>
      <c r="H56" s="15">
        <v>1</v>
      </c>
      <c r="I56" s="16">
        <v>72118</v>
      </c>
      <c r="J56" s="15">
        <v>66.7</v>
      </c>
    </row>
    <row r="57" spans="1:10" x14ac:dyDescent="0.3">
      <c r="A57" s="18" t="s">
        <v>150</v>
      </c>
      <c r="B57" s="18" t="s">
        <v>60</v>
      </c>
      <c r="C57" s="19">
        <v>732496</v>
      </c>
      <c r="D57" s="19">
        <v>539153</v>
      </c>
      <c r="E57" s="19">
        <v>98712</v>
      </c>
      <c r="F57" s="19">
        <v>85257</v>
      </c>
      <c r="G57" s="18">
        <v>2</v>
      </c>
      <c r="H57" s="18">
        <v>1</v>
      </c>
      <c r="I57" s="19">
        <v>193343</v>
      </c>
      <c r="J57" s="18">
        <v>77.099999999999994</v>
      </c>
    </row>
    <row r="58" spans="1:10" x14ac:dyDescent="0.3">
      <c r="A58" s="15" t="s">
        <v>150</v>
      </c>
      <c r="B58" s="15" t="s">
        <v>70</v>
      </c>
      <c r="C58" s="16">
        <v>797347</v>
      </c>
      <c r="D58" s="16">
        <v>646486</v>
      </c>
      <c r="E58" s="16">
        <v>60418</v>
      </c>
      <c r="F58" s="16">
        <v>58839</v>
      </c>
      <c r="G58" s="15">
        <v>5</v>
      </c>
      <c r="H58" s="15">
        <v>2</v>
      </c>
      <c r="I58" s="16">
        <v>150861</v>
      </c>
      <c r="J58" s="15">
        <v>93</v>
      </c>
    </row>
    <row r="59" spans="1:10" x14ac:dyDescent="0.3">
      <c r="A59" s="18" t="s">
        <v>150</v>
      </c>
      <c r="B59" s="18" t="s">
        <v>143</v>
      </c>
      <c r="C59" s="19">
        <v>414181</v>
      </c>
      <c r="D59" s="19">
        <v>414751</v>
      </c>
      <c r="E59" s="19">
        <v>132361</v>
      </c>
      <c r="F59" s="19">
        <v>118825</v>
      </c>
      <c r="G59" s="18">
        <v>5</v>
      </c>
      <c r="H59" s="18">
        <v>1</v>
      </c>
      <c r="I59" s="19">
        <v>0</v>
      </c>
      <c r="J59" s="18">
        <v>85.2</v>
      </c>
    </row>
    <row r="60" spans="1:10" x14ac:dyDescent="0.3">
      <c r="A60" s="15" t="s">
        <v>151</v>
      </c>
      <c r="B60" s="15" t="s">
        <v>51</v>
      </c>
      <c r="C60" s="16">
        <v>514569</v>
      </c>
      <c r="D60" s="16">
        <v>466071</v>
      </c>
      <c r="E60" s="16">
        <v>69016</v>
      </c>
      <c r="F60" s="16">
        <v>58792</v>
      </c>
      <c r="G60" s="15">
        <v>6</v>
      </c>
      <c r="H60" s="15">
        <v>0</v>
      </c>
      <c r="I60" s="16">
        <v>48498</v>
      </c>
      <c r="J60" s="15">
        <v>67.2</v>
      </c>
    </row>
    <row r="61" spans="1:10" x14ac:dyDescent="0.3">
      <c r="A61" s="18" t="s">
        <v>151</v>
      </c>
      <c r="B61" s="18" t="s">
        <v>40</v>
      </c>
      <c r="C61" s="19">
        <v>423508</v>
      </c>
      <c r="D61" s="19">
        <v>392866</v>
      </c>
      <c r="E61" s="19">
        <v>84722</v>
      </c>
      <c r="F61" s="19">
        <v>87827</v>
      </c>
      <c r="G61" s="18">
        <v>2</v>
      </c>
      <c r="H61" s="18">
        <v>1</v>
      </c>
      <c r="I61" s="19">
        <v>30642</v>
      </c>
      <c r="J61" s="18">
        <v>76.099999999999994</v>
      </c>
    </row>
    <row r="62" spans="1:10" x14ac:dyDescent="0.3">
      <c r="A62" s="15" t="s">
        <v>151</v>
      </c>
      <c r="B62" s="15" t="s">
        <v>60</v>
      </c>
      <c r="C62" s="16">
        <v>365409</v>
      </c>
      <c r="D62" s="16">
        <v>327838</v>
      </c>
      <c r="E62" s="16">
        <v>192401</v>
      </c>
      <c r="F62" s="16">
        <v>190613</v>
      </c>
      <c r="G62" s="15">
        <v>6</v>
      </c>
      <c r="H62" s="15">
        <v>0</v>
      </c>
      <c r="I62" s="16">
        <v>37571</v>
      </c>
      <c r="J62" s="15">
        <v>85</v>
      </c>
    </row>
    <row r="63" spans="1:10" x14ac:dyDescent="0.3">
      <c r="A63" s="18" t="s">
        <v>151</v>
      </c>
      <c r="B63" s="18" t="s">
        <v>70</v>
      </c>
      <c r="C63" s="19">
        <v>781542</v>
      </c>
      <c r="D63" s="19">
        <v>652369</v>
      </c>
      <c r="E63" s="19">
        <v>77154</v>
      </c>
      <c r="F63" s="19">
        <v>80069</v>
      </c>
      <c r="G63" s="18">
        <v>3</v>
      </c>
      <c r="H63" s="18">
        <v>2</v>
      </c>
      <c r="I63" s="19">
        <v>129173</v>
      </c>
      <c r="J63" s="18">
        <v>68.5</v>
      </c>
    </row>
    <row r="64" spans="1:10" x14ac:dyDescent="0.3">
      <c r="A64" s="15" t="s">
        <v>151</v>
      </c>
      <c r="B64" s="15" t="s">
        <v>143</v>
      </c>
      <c r="C64" s="16">
        <v>312235</v>
      </c>
      <c r="D64" s="16">
        <v>322878</v>
      </c>
      <c r="E64" s="16">
        <v>90749</v>
      </c>
      <c r="F64" s="16">
        <v>82079</v>
      </c>
      <c r="G64" s="15">
        <v>6</v>
      </c>
      <c r="H64" s="15">
        <v>1</v>
      </c>
      <c r="I64" s="16">
        <v>0</v>
      </c>
      <c r="J64" s="15">
        <v>86.5</v>
      </c>
    </row>
    <row r="65" spans="1:10" x14ac:dyDescent="0.3">
      <c r="A65" s="18" t="s">
        <v>152</v>
      </c>
      <c r="B65" s="18" t="s">
        <v>51</v>
      </c>
      <c r="C65" s="19">
        <v>413487</v>
      </c>
      <c r="D65" s="19">
        <v>417362</v>
      </c>
      <c r="E65" s="19">
        <v>119201</v>
      </c>
      <c r="F65" s="19">
        <v>113369</v>
      </c>
      <c r="G65" s="18">
        <v>4</v>
      </c>
      <c r="H65" s="18">
        <v>0</v>
      </c>
      <c r="I65" s="19">
        <v>0</v>
      </c>
      <c r="J65" s="18">
        <v>67.8</v>
      </c>
    </row>
    <row r="66" spans="1:10" x14ac:dyDescent="0.3">
      <c r="A66" s="15" t="s">
        <v>152</v>
      </c>
      <c r="B66" s="15" t="s">
        <v>40</v>
      </c>
      <c r="C66" s="16">
        <v>644151</v>
      </c>
      <c r="D66" s="16">
        <v>691307</v>
      </c>
      <c r="E66" s="16">
        <v>61557</v>
      </c>
      <c r="F66" s="16">
        <v>52367</v>
      </c>
      <c r="G66" s="15">
        <v>8</v>
      </c>
      <c r="H66" s="15">
        <v>1</v>
      </c>
      <c r="I66" s="16">
        <v>0</v>
      </c>
      <c r="J66" s="15">
        <v>84.1</v>
      </c>
    </row>
    <row r="67" spans="1:10" x14ac:dyDescent="0.3">
      <c r="A67" s="18" t="s">
        <v>152</v>
      </c>
      <c r="B67" s="18" t="s">
        <v>60</v>
      </c>
      <c r="C67" s="19">
        <v>474680</v>
      </c>
      <c r="D67" s="19">
        <v>366790</v>
      </c>
      <c r="E67" s="19">
        <v>165824</v>
      </c>
      <c r="F67" s="19">
        <v>159246</v>
      </c>
      <c r="G67" s="18">
        <v>5</v>
      </c>
      <c r="H67" s="18">
        <v>0</v>
      </c>
      <c r="I67" s="19">
        <v>107890</v>
      </c>
      <c r="J67" s="18">
        <v>68.400000000000006</v>
      </c>
    </row>
    <row r="68" spans="1:10" x14ac:dyDescent="0.3">
      <c r="A68" s="15" t="s">
        <v>152</v>
      </c>
      <c r="B68" s="15" t="s">
        <v>70</v>
      </c>
      <c r="C68" s="16">
        <v>356294</v>
      </c>
      <c r="D68" s="16">
        <v>336881</v>
      </c>
      <c r="E68" s="16">
        <v>146787</v>
      </c>
      <c r="F68" s="16">
        <v>141869</v>
      </c>
      <c r="G68" s="15">
        <v>3</v>
      </c>
      <c r="H68" s="15">
        <v>3</v>
      </c>
      <c r="I68" s="16">
        <v>19413</v>
      </c>
      <c r="J68" s="15">
        <v>68.8</v>
      </c>
    </row>
    <row r="69" spans="1:10" x14ac:dyDescent="0.3">
      <c r="A69" s="18" t="s">
        <v>152</v>
      </c>
      <c r="B69" s="18" t="s">
        <v>143</v>
      </c>
      <c r="C69" s="19">
        <v>523232</v>
      </c>
      <c r="D69" s="19">
        <v>452121</v>
      </c>
      <c r="E69" s="19">
        <v>60458</v>
      </c>
      <c r="F69" s="19">
        <v>62258</v>
      </c>
      <c r="G69" s="18">
        <v>3</v>
      </c>
      <c r="H69" s="18">
        <v>1</v>
      </c>
      <c r="I69" s="19">
        <v>71111</v>
      </c>
      <c r="J69" s="18">
        <v>85</v>
      </c>
    </row>
    <row r="70" spans="1:10" x14ac:dyDescent="0.3">
      <c r="A70" s="15" t="s">
        <v>153</v>
      </c>
      <c r="B70" s="15" t="s">
        <v>51</v>
      </c>
      <c r="C70" s="16">
        <v>570858</v>
      </c>
      <c r="D70" s="16">
        <v>600001</v>
      </c>
      <c r="E70" s="16">
        <v>156529</v>
      </c>
      <c r="F70" s="16">
        <v>163536</v>
      </c>
      <c r="G70" s="15">
        <v>7</v>
      </c>
      <c r="H70" s="15">
        <v>1</v>
      </c>
      <c r="I70" s="16">
        <v>0</v>
      </c>
      <c r="J70" s="15">
        <v>92.8</v>
      </c>
    </row>
    <row r="71" spans="1:10" x14ac:dyDescent="0.3">
      <c r="A71" s="18" t="s">
        <v>153</v>
      </c>
      <c r="B71" s="18" t="s">
        <v>40</v>
      </c>
      <c r="C71" s="19">
        <v>448237</v>
      </c>
      <c r="D71" s="19">
        <v>488162</v>
      </c>
      <c r="E71" s="19">
        <v>96413</v>
      </c>
      <c r="F71" s="19">
        <v>98947</v>
      </c>
      <c r="G71" s="18">
        <v>2</v>
      </c>
      <c r="H71" s="18">
        <v>1</v>
      </c>
      <c r="I71" s="19">
        <v>0</v>
      </c>
      <c r="J71" s="18">
        <v>87.1</v>
      </c>
    </row>
    <row r="72" spans="1:10" x14ac:dyDescent="0.3">
      <c r="A72" s="15" t="s">
        <v>153</v>
      </c>
      <c r="B72" s="15" t="s">
        <v>60</v>
      </c>
      <c r="C72" s="16">
        <v>548321</v>
      </c>
      <c r="D72" s="16">
        <v>576874</v>
      </c>
      <c r="E72" s="16">
        <v>157928</v>
      </c>
      <c r="F72" s="16">
        <v>159577</v>
      </c>
      <c r="G72" s="15">
        <v>8</v>
      </c>
      <c r="H72" s="15">
        <v>1</v>
      </c>
      <c r="I72" s="16">
        <v>0</v>
      </c>
      <c r="J72" s="15">
        <v>73</v>
      </c>
    </row>
    <row r="73" spans="1:10" x14ac:dyDescent="0.3">
      <c r="A73" s="18" t="s">
        <v>153</v>
      </c>
      <c r="B73" s="18" t="s">
        <v>70</v>
      </c>
      <c r="C73" s="19">
        <v>313346</v>
      </c>
      <c r="D73" s="19">
        <v>273282</v>
      </c>
      <c r="E73" s="19">
        <v>60151</v>
      </c>
      <c r="F73" s="19">
        <v>61457</v>
      </c>
      <c r="G73" s="18">
        <v>3</v>
      </c>
      <c r="H73" s="18">
        <v>1</v>
      </c>
      <c r="I73" s="19">
        <v>40064</v>
      </c>
      <c r="J73" s="18">
        <v>89.5</v>
      </c>
    </row>
    <row r="74" spans="1:10" x14ac:dyDescent="0.3">
      <c r="A74" s="15" t="s">
        <v>153</v>
      </c>
      <c r="B74" s="15" t="s">
        <v>143</v>
      </c>
      <c r="C74" s="16">
        <v>682662</v>
      </c>
      <c r="D74" s="16">
        <v>585277</v>
      </c>
      <c r="E74" s="16">
        <v>109662</v>
      </c>
      <c r="F74" s="16">
        <v>98101</v>
      </c>
      <c r="G74" s="15">
        <v>7</v>
      </c>
      <c r="H74" s="15">
        <v>1</v>
      </c>
      <c r="I74" s="16">
        <v>97385</v>
      </c>
      <c r="J74" s="15">
        <v>77</v>
      </c>
    </row>
    <row r="75" spans="1:10" x14ac:dyDescent="0.3">
      <c r="A75" s="18" t="s">
        <v>154</v>
      </c>
      <c r="B75" s="18" t="s">
        <v>51</v>
      </c>
      <c r="C75" s="19">
        <v>492136</v>
      </c>
      <c r="D75" s="19">
        <v>535915</v>
      </c>
      <c r="E75" s="19">
        <v>123170</v>
      </c>
      <c r="F75" s="19">
        <v>113344</v>
      </c>
      <c r="G75" s="18">
        <v>6</v>
      </c>
      <c r="H75" s="18">
        <v>3</v>
      </c>
      <c r="I75" s="19">
        <v>0</v>
      </c>
      <c r="J75" s="18">
        <v>85.4</v>
      </c>
    </row>
    <row r="76" spans="1:10" x14ac:dyDescent="0.3">
      <c r="A76" s="15" t="s">
        <v>154</v>
      </c>
      <c r="B76" s="15" t="s">
        <v>40</v>
      </c>
      <c r="C76" s="16">
        <v>762262</v>
      </c>
      <c r="D76" s="16">
        <v>647173</v>
      </c>
      <c r="E76" s="16">
        <v>57235</v>
      </c>
      <c r="F76" s="16">
        <v>49970</v>
      </c>
      <c r="G76" s="15">
        <v>4</v>
      </c>
      <c r="H76" s="15">
        <v>1</v>
      </c>
      <c r="I76" s="16">
        <v>115089</v>
      </c>
      <c r="J76" s="15">
        <v>82.4</v>
      </c>
    </row>
    <row r="77" spans="1:10" x14ac:dyDescent="0.3">
      <c r="A77" s="18" t="s">
        <v>154</v>
      </c>
      <c r="B77" s="18" t="s">
        <v>60</v>
      </c>
      <c r="C77" s="19">
        <v>478361</v>
      </c>
      <c r="D77" s="19">
        <v>343088</v>
      </c>
      <c r="E77" s="19">
        <v>163918</v>
      </c>
      <c r="F77" s="19">
        <v>150663</v>
      </c>
      <c r="G77" s="18">
        <v>8</v>
      </c>
      <c r="H77" s="18">
        <v>2</v>
      </c>
      <c r="I77" s="19">
        <v>135273</v>
      </c>
      <c r="J77" s="18">
        <v>78.099999999999994</v>
      </c>
    </row>
    <row r="78" spans="1:10" x14ac:dyDescent="0.3">
      <c r="A78" s="15" t="s">
        <v>154</v>
      </c>
      <c r="B78" s="15" t="s">
        <v>70</v>
      </c>
      <c r="C78" s="16">
        <v>736265</v>
      </c>
      <c r="D78" s="16">
        <v>553701</v>
      </c>
      <c r="E78" s="16">
        <v>99828</v>
      </c>
      <c r="F78" s="16">
        <v>89939</v>
      </c>
      <c r="G78" s="15">
        <v>7</v>
      </c>
      <c r="H78" s="15">
        <v>3</v>
      </c>
      <c r="I78" s="16">
        <v>182564</v>
      </c>
      <c r="J78" s="15">
        <v>65.099999999999994</v>
      </c>
    </row>
    <row r="79" spans="1:10" x14ac:dyDescent="0.3">
      <c r="A79" s="18" t="s">
        <v>154</v>
      </c>
      <c r="B79" s="18" t="s">
        <v>143</v>
      </c>
      <c r="C79" s="19">
        <v>764607</v>
      </c>
      <c r="D79" s="19">
        <v>771554</v>
      </c>
      <c r="E79" s="19">
        <v>101651</v>
      </c>
      <c r="F79" s="19">
        <v>93808</v>
      </c>
      <c r="G79" s="18">
        <v>2</v>
      </c>
      <c r="H79" s="18">
        <v>2</v>
      </c>
      <c r="I79" s="19">
        <v>0</v>
      </c>
      <c r="J79" s="18">
        <v>83.7</v>
      </c>
    </row>
  </sheetData>
  <mergeCells count="2">
    <mergeCell ref="A1:O1"/>
    <mergeCell ref="A18:L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9"/>
  <sheetViews>
    <sheetView showGridLines="0" zoomScaleNormal="100" workbookViewId="0">
      <pane ySplit="8" topLeftCell="A12" activePane="bottomLeft" state="frozen"/>
      <selection pane="bottomLeft" activeCell="M9" sqref="M9:O9"/>
    </sheetView>
  </sheetViews>
  <sheetFormatPr defaultColWidth="8.6640625" defaultRowHeight="14.4" x14ac:dyDescent="0.3"/>
  <cols>
    <col min="1" max="19" width="12" customWidth="1"/>
  </cols>
  <sheetData>
    <row r="1" spans="1:19" ht="18" customHeight="1" x14ac:dyDescent="0.3">
      <c r="A1" s="75" t="s">
        <v>155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</row>
    <row r="2" spans="1:19" ht="18" customHeight="1" x14ac:dyDescent="0.3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</row>
    <row r="3" spans="1:19" ht="18" customHeight="1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 spans="1:19" ht="18" customHeight="1" x14ac:dyDescent="0.3"/>
    <row r="5" spans="1:19" ht="21.75" customHeight="1" x14ac:dyDescent="0.3">
      <c r="A5" s="76" t="s">
        <v>156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</row>
    <row r="6" spans="1:19" ht="18" customHeight="1" x14ac:dyDescent="0.3"/>
    <row r="7" spans="1:19" ht="25.5" customHeight="1" x14ac:dyDescent="0.3">
      <c r="A7" s="77" t="s">
        <v>157</v>
      </c>
      <c r="B7" s="77"/>
      <c r="C7" s="77"/>
      <c r="E7" s="78" t="s">
        <v>158</v>
      </c>
      <c r="F7" s="78"/>
      <c r="G7" s="78"/>
      <c r="I7" s="79" t="s">
        <v>159</v>
      </c>
      <c r="J7" s="79"/>
      <c r="K7" s="79"/>
      <c r="M7" s="80" t="s">
        <v>160</v>
      </c>
      <c r="N7" s="80"/>
      <c r="O7" s="80"/>
      <c r="Q7" s="81" t="s">
        <v>161</v>
      </c>
      <c r="R7" s="81"/>
      <c r="S7" s="81"/>
    </row>
    <row r="8" spans="1:19" ht="25.5" customHeight="1" x14ac:dyDescent="0.3">
      <c r="A8" s="82" t="s">
        <v>162</v>
      </c>
      <c r="B8" s="82"/>
      <c r="C8" s="82"/>
      <c r="E8" s="83" t="s">
        <v>163</v>
      </c>
      <c r="F8" s="83"/>
      <c r="G8" s="83"/>
      <c r="I8" s="84" t="s">
        <v>164</v>
      </c>
      <c r="J8" s="84"/>
      <c r="K8" s="84"/>
      <c r="M8" s="85" t="s">
        <v>165</v>
      </c>
      <c r="N8" s="85"/>
      <c r="O8" s="85"/>
      <c r="Q8" s="86" t="s">
        <v>166</v>
      </c>
      <c r="R8" s="86"/>
      <c r="S8" s="86"/>
    </row>
    <row r="9" spans="1:19" ht="25.5" customHeight="1" x14ac:dyDescent="0.3">
      <c r="A9" s="87" t="s">
        <v>167</v>
      </c>
      <c r="B9" s="87"/>
      <c r="C9" s="87"/>
      <c r="E9" s="88" t="s">
        <v>168</v>
      </c>
      <c r="F9" s="88"/>
      <c r="G9" s="88"/>
      <c r="I9" s="89" t="s">
        <v>169</v>
      </c>
      <c r="J9" s="89"/>
      <c r="K9" s="89"/>
      <c r="M9" s="90" t="s">
        <v>170</v>
      </c>
      <c r="N9" s="90"/>
      <c r="O9" s="90"/>
      <c r="Q9" s="91" t="s">
        <v>171</v>
      </c>
      <c r="R9" s="91"/>
      <c r="S9" s="91"/>
    </row>
    <row r="10" spans="1:19" ht="18" customHeight="1" x14ac:dyDescent="0.3"/>
    <row r="11" spans="1:19" ht="18" customHeight="1" x14ac:dyDescent="0.3"/>
    <row r="12" spans="1:19" ht="18" customHeight="1" x14ac:dyDescent="0.3"/>
    <row r="13" spans="1:19" ht="18" customHeight="1" x14ac:dyDescent="0.3">
      <c r="A13" s="92" t="s">
        <v>172</v>
      </c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</row>
    <row r="14" spans="1:19" ht="18" customHeight="1" x14ac:dyDescent="0.3">
      <c r="A14" s="23" t="s">
        <v>27</v>
      </c>
      <c r="B14" s="23" t="s">
        <v>173</v>
      </c>
      <c r="C14" s="23" t="s">
        <v>174</v>
      </c>
      <c r="D14" s="23" t="s">
        <v>175</v>
      </c>
      <c r="E14" s="23" t="s">
        <v>176</v>
      </c>
      <c r="F14" s="23" t="s">
        <v>177</v>
      </c>
      <c r="G14" s="23" t="s">
        <v>178</v>
      </c>
    </row>
    <row r="15" spans="1:19" ht="18" customHeight="1" x14ac:dyDescent="0.3">
      <c r="A15" s="24" t="s">
        <v>42</v>
      </c>
      <c r="B15" s="25">
        <f>COUNTIF(Data_Repository!F3:F14,A15)</f>
        <v>6</v>
      </c>
      <c r="C15" s="26">
        <f>SUMIF(Data_Repository!F3:F14,A15,Data_Repository!G3:G14)</f>
        <v>9270000</v>
      </c>
      <c r="D15" s="26">
        <f>SUMIF(Data_Repository!F3:F14,A15,Data_Repository!H3:H14)</f>
        <v>5495000</v>
      </c>
      <c r="E15" s="27">
        <f>IFERROR(D15/C15,0)</f>
        <v>0.59277238403451993</v>
      </c>
      <c r="F15" s="28">
        <f>IFERROR(AVERAGEIF(Data_Repository!F3:F14,A15,Data_Repository!L3:L14),0)</f>
        <v>56.666666666666664</v>
      </c>
      <c r="G15" s="25" t="str">
        <f>IF(E15&gt;1,"⚠ Over Budget",IF(F15&lt;0.5,"🔴 Low Progress","✅ On Track"))</f>
        <v>✅ On Track</v>
      </c>
    </row>
    <row r="16" spans="1:19" ht="18" customHeight="1" x14ac:dyDescent="0.3">
      <c r="A16" s="29" t="s">
        <v>62</v>
      </c>
      <c r="B16" s="30">
        <f>COUNTIF(Data_Repository!F3:F14,A16)</f>
        <v>3</v>
      </c>
      <c r="C16" s="31">
        <f>SUMIF(Data_Repository!F3:F14,A16,Data_Repository!G3:G14)</f>
        <v>6030000</v>
      </c>
      <c r="D16" s="31">
        <f>SUMIF(Data_Repository!F3:F14,A16,Data_Repository!H3:H14)</f>
        <v>6090000</v>
      </c>
      <c r="E16" s="32">
        <f>IFERROR(D16/C16,0)</f>
        <v>1.0099502487562189</v>
      </c>
      <c r="F16" s="33">
        <f>IFERROR(AVERAGEIF(Data_Repository!F3:F14,A16,Data_Repository!L3:L14),0)</f>
        <v>100</v>
      </c>
      <c r="G16" s="30" t="str">
        <f>IF(E16&gt;1,"⚠ Over Budget",IF(F16&lt;0.5,"🔴 Low Progress","✅ On Track"))</f>
        <v>⚠ Over Budget</v>
      </c>
    </row>
    <row r="17" spans="1:7" ht="18" customHeight="1" x14ac:dyDescent="0.3">
      <c r="A17" s="24" t="s">
        <v>79</v>
      </c>
      <c r="B17" s="25">
        <f>COUNTIF(Data_Repository!F3:F14,A17)</f>
        <v>1</v>
      </c>
      <c r="C17" s="26">
        <f>SUMIF(Data_Repository!F3:F14,A17,Data_Repository!G3:G14)</f>
        <v>3100000</v>
      </c>
      <c r="D17" s="26">
        <f>SUMIF(Data_Repository!F3:F14,A17,Data_Repository!H3:H14)</f>
        <v>620000</v>
      </c>
      <c r="E17" s="27">
        <f>IFERROR(D17/C17,0)</f>
        <v>0.2</v>
      </c>
      <c r="F17" s="28">
        <f>IFERROR(AVERAGEIF(Data_Repository!F3:F14,A17,Data_Repository!L3:L14),0)</f>
        <v>20</v>
      </c>
      <c r="G17" s="25" t="str">
        <f>IF(E17&gt;1,"⚠ Over Budget",IF(F17&lt;0.5,"🔴 Low Progress","✅ On Track"))</f>
        <v>✅ On Track</v>
      </c>
    </row>
    <row r="18" spans="1:7" ht="18" customHeight="1" x14ac:dyDescent="0.3">
      <c r="A18" s="29" t="s">
        <v>94</v>
      </c>
      <c r="B18" s="30">
        <f>COUNTIF(Data_Repository!F3:F14,A18)</f>
        <v>2</v>
      </c>
      <c r="C18" s="31">
        <f>SUMIF(Data_Repository!F3:F14,A18,Data_Repository!G3:G14)</f>
        <v>13000000</v>
      </c>
      <c r="D18" s="31">
        <f>SUMIF(Data_Repository!F3:F14,A18,Data_Repository!H3:H14)</f>
        <v>260000</v>
      </c>
      <c r="E18" s="32">
        <f>IFERROR(D18/C18,0)</f>
        <v>0.02</v>
      </c>
      <c r="F18" s="33">
        <f>IFERROR(AVERAGEIF(Data_Repository!F3:F14,A18,Data_Repository!L3:L14),0)</f>
        <v>2</v>
      </c>
      <c r="G18" s="30" t="str">
        <f>IF(E18&gt;1,"⚠ Over Budget",IF(F18&lt;0.5,"🔴 Low Progress","✅ On Track"))</f>
        <v>✅ On Track</v>
      </c>
    </row>
    <row r="19" spans="1:7" ht="18" customHeight="1" x14ac:dyDescent="0.3">
      <c r="A19" s="34" t="s">
        <v>179</v>
      </c>
      <c r="B19" s="34">
        <f>SUM(B15:B18)</f>
        <v>12</v>
      </c>
      <c r="C19" s="35">
        <f>SUM(C15:C18)</f>
        <v>31400000</v>
      </c>
      <c r="D19" s="35">
        <f>SUM(D15:D18)</f>
        <v>12465000</v>
      </c>
      <c r="E19" s="36">
        <f>IFERROR(D19/C19,0)</f>
        <v>0.39697452229299363</v>
      </c>
      <c r="F19" s="37">
        <f>AVERAGE(F15:F18)</f>
        <v>44.666666666666664</v>
      </c>
      <c r="G19" s="34"/>
    </row>
    <row r="20" spans="1:7" ht="18" customHeight="1" x14ac:dyDescent="0.3"/>
    <row r="21" spans="1:7" ht="18" customHeight="1" x14ac:dyDescent="0.3"/>
    <row r="22" spans="1:7" ht="18" customHeight="1" x14ac:dyDescent="0.3"/>
    <row r="23" spans="1:7" ht="18" customHeight="1" x14ac:dyDescent="0.3"/>
    <row r="24" spans="1:7" ht="18" customHeight="1" x14ac:dyDescent="0.3"/>
    <row r="25" spans="1:7" ht="18" customHeight="1" x14ac:dyDescent="0.3"/>
    <row r="26" spans="1:7" ht="18" customHeight="1" x14ac:dyDescent="0.3"/>
    <row r="27" spans="1:7" ht="18" customHeight="1" x14ac:dyDescent="0.3"/>
    <row r="28" spans="1:7" ht="18" customHeight="1" x14ac:dyDescent="0.3"/>
    <row r="29" spans="1:7" ht="18" customHeight="1" x14ac:dyDescent="0.3"/>
    <row r="30" spans="1:7" ht="18" customHeight="1" x14ac:dyDescent="0.3"/>
    <row r="31" spans="1:7" ht="18" customHeight="1" x14ac:dyDescent="0.3"/>
    <row r="32" spans="1:7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</sheetData>
  <mergeCells count="19">
    <mergeCell ref="A13:S13"/>
    <mergeCell ref="A9:C9"/>
    <mergeCell ref="E9:G9"/>
    <mergeCell ref="I9:K9"/>
    <mergeCell ref="M9:O9"/>
    <mergeCell ref="Q9:S9"/>
    <mergeCell ref="A8:C8"/>
    <mergeCell ref="E8:G8"/>
    <mergeCell ref="I8:K8"/>
    <mergeCell ref="M8:O8"/>
    <mergeCell ref="Q8:S8"/>
    <mergeCell ref="A1:S2"/>
    <mergeCell ref="A3:S3"/>
    <mergeCell ref="A5:S5"/>
    <mergeCell ref="A7:C7"/>
    <mergeCell ref="E7:G7"/>
    <mergeCell ref="I7:K7"/>
    <mergeCell ref="M7:O7"/>
    <mergeCell ref="Q7:S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0"/>
  <sheetViews>
    <sheetView showGridLines="0" zoomScaleNormal="100" workbookViewId="0">
      <pane ySplit="8" topLeftCell="A9" activePane="bottomLeft" state="frozen"/>
      <selection pane="bottomLeft" sqref="A1:R2"/>
    </sheetView>
  </sheetViews>
  <sheetFormatPr defaultColWidth="8.6640625" defaultRowHeight="14.4" x14ac:dyDescent="0.3"/>
  <cols>
    <col min="1" max="1" width="9" customWidth="1"/>
    <col min="2" max="2" width="24" customWidth="1"/>
    <col min="3" max="3" width="9" customWidth="1"/>
    <col min="4" max="4" width="12" customWidth="1"/>
    <col min="5" max="5" width="15" customWidth="1"/>
    <col min="6" max="6" width="11" customWidth="1"/>
    <col min="7" max="9" width="13" customWidth="1"/>
    <col min="10" max="10" width="10" customWidth="1"/>
    <col min="11" max="11" width="11" customWidth="1"/>
    <col min="12" max="12" width="9" customWidth="1"/>
    <col min="13" max="13" width="10" customWidth="1"/>
    <col min="14" max="15" width="11" customWidth="1"/>
    <col min="16" max="17" width="14" customWidth="1"/>
    <col min="18" max="18" width="11" customWidth="1"/>
    <col min="19" max="19" width="13" customWidth="1"/>
  </cols>
  <sheetData>
    <row r="1" spans="1:18" x14ac:dyDescent="0.3">
      <c r="A1" s="75" t="s">
        <v>180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</row>
    <row r="2" spans="1:18" x14ac:dyDescent="0.3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</row>
    <row r="3" spans="1:18" x14ac:dyDescent="0.3">
      <c r="A3" s="93"/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</row>
    <row r="5" spans="1:18" x14ac:dyDescent="0.3">
      <c r="A5" s="94" t="s">
        <v>181</v>
      </c>
      <c r="B5" s="94"/>
      <c r="C5" s="95" t="s">
        <v>42</v>
      </c>
      <c r="D5" s="95"/>
      <c r="E5" s="96" t="s">
        <v>62</v>
      </c>
      <c r="F5" s="96"/>
      <c r="G5" s="97" t="s">
        <v>79</v>
      </c>
      <c r="H5" s="97"/>
      <c r="I5" s="98" t="s">
        <v>94</v>
      </c>
      <c r="J5" s="98"/>
      <c r="K5" s="99" t="s">
        <v>182</v>
      </c>
      <c r="L5" s="99"/>
      <c r="M5" s="100" t="s">
        <v>183</v>
      </c>
      <c r="N5" s="100"/>
    </row>
    <row r="6" spans="1:18" ht="27.75" customHeight="1" x14ac:dyDescent="0.3">
      <c r="A6" s="101">
        <f>COUNTA(Data_Repository!A3:A14)</f>
        <v>12</v>
      </c>
      <c r="B6" s="101"/>
      <c r="C6" s="102">
        <f>COUNTIF(Data_Repository!F3:F14,"In Progress")</f>
        <v>6</v>
      </c>
      <c r="D6" s="102"/>
      <c r="E6" s="103">
        <f>COUNTIF(Data_Repository!F3:F14,"Completed")</f>
        <v>3</v>
      </c>
      <c r="F6" s="103"/>
      <c r="G6" s="104">
        <f>COUNTIF(Data_Repository!F3:F14,"On Hold")</f>
        <v>1</v>
      </c>
      <c r="H6" s="104"/>
      <c r="I6" s="105">
        <f>COUNTIF(Data_Repository!F3:F14,"Planning")</f>
        <v>2</v>
      </c>
      <c r="J6" s="105"/>
      <c r="K6" s="106">
        <f>COUNTIF(Data_Repository!N3:N14,"High")</f>
        <v>4</v>
      </c>
      <c r="L6" s="106"/>
      <c r="M6" s="107">
        <f>COUNTIF(Data_Repository!M3:M14,"Critical")</f>
        <v>3</v>
      </c>
      <c r="N6" s="107"/>
    </row>
    <row r="8" spans="1:18" ht="27.6" x14ac:dyDescent="0.3">
      <c r="A8" s="38" t="s">
        <v>184</v>
      </c>
      <c r="B8" s="38" t="s">
        <v>185</v>
      </c>
      <c r="C8" s="38" t="s">
        <v>24</v>
      </c>
      <c r="D8" s="38" t="s">
        <v>25</v>
      </c>
      <c r="E8" s="38" t="s">
        <v>26</v>
      </c>
      <c r="F8" s="38" t="s">
        <v>27</v>
      </c>
      <c r="G8" s="38" t="s">
        <v>186</v>
      </c>
      <c r="H8" s="38" t="s">
        <v>187</v>
      </c>
      <c r="I8" s="38" t="s">
        <v>188</v>
      </c>
      <c r="J8" s="38" t="s">
        <v>189</v>
      </c>
      <c r="K8" s="38" t="s">
        <v>190</v>
      </c>
      <c r="L8" s="38" t="s">
        <v>34</v>
      </c>
      <c r="M8" s="38" t="s">
        <v>191</v>
      </c>
      <c r="N8" s="38" t="s">
        <v>192</v>
      </c>
      <c r="O8" s="38" t="s">
        <v>193</v>
      </c>
      <c r="P8" s="38" t="s">
        <v>194</v>
      </c>
      <c r="Q8" s="38" t="s">
        <v>36</v>
      </c>
      <c r="R8" s="38" t="s">
        <v>195</v>
      </c>
    </row>
    <row r="9" spans="1:18" x14ac:dyDescent="0.3">
      <c r="A9" s="39" t="str">
        <f>Data_Repository!A3</f>
        <v>P001</v>
      </c>
      <c r="B9" s="39" t="str">
        <f>Data_Repository!B3</f>
        <v>APAC HQ Renovation</v>
      </c>
      <c r="C9" s="39" t="str">
        <f>Data_Repository!C3</f>
        <v>APAC</v>
      </c>
      <c r="D9" s="39" t="str">
        <f>Data_Repository!D3</f>
        <v>Singapore</v>
      </c>
      <c r="E9" s="39" t="str">
        <f>Data_Repository!E3</f>
        <v>Interior Fit-out</v>
      </c>
      <c r="F9" s="39" t="str">
        <f>Data_Repository!F3</f>
        <v>In Progress</v>
      </c>
      <c r="G9" s="40">
        <f>Data_Repository!G3</f>
        <v>2500000</v>
      </c>
      <c r="H9" s="40">
        <f>Data_Repository!H3</f>
        <v>1750000</v>
      </c>
      <c r="I9" s="40">
        <f t="shared" ref="I9:I20" si="0">G9-H9</f>
        <v>750000</v>
      </c>
      <c r="J9" s="41">
        <f t="shared" ref="J9:J20" si="1">IFERROR(I9/G9,0)</f>
        <v>0.3</v>
      </c>
      <c r="K9" s="42">
        <f>Data_Repository!L3</f>
        <v>70</v>
      </c>
      <c r="L9" s="39" t="str">
        <f>Data_Repository!M3</f>
        <v>High</v>
      </c>
      <c r="M9" s="39" t="str">
        <f>Data_Repository!N3</f>
        <v>Medium</v>
      </c>
      <c r="N9" s="39" t="str">
        <f>Data_Repository!I3</f>
        <v>2024-04-01</v>
      </c>
      <c r="O9" s="39" t="str">
        <f>Data_Repository!J3</f>
        <v>2025-03-31</v>
      </c>
      <c r="P9" s="39" t="str">
        <f>Data_Repository!K3</f>
        <v>Ravi Sharma</v>
      </c>
      <c r="Q9" s="42">
        <f>Data_Repository!L3</f>
        <v>70</v>
      </c>
      <c r="R9" s="43" t="str">
        <f t="shared" ref="R9:R20" si="2">IF(J9&lt;-0.05,"🔴 RED",IF(J9&lt;0,"🟡 AMBER","🟢 GREEN"))</f>
        <v>🟢 GREEN</v>
      </c>
    </row>
    <row r="10" spans="1:18" x14ac:dyDescent="0.3">
      <c r="A10" s="44" t="str">
        <f>Data_Repository!A4</f>
        <v>P002</v>
      </c>
      <c r="B10" s="44" t="str">
        <f>Data_Repository!B4</f>
        <v>Mumbai Office Expansion</v>
      </c>
      <c r="C10" s="44" t="str">
        <f>Data_Repository!C4</f>
        <v>APAC</v>
      </c>
      <c r="D10" s="44" t="str">
        <f>Data_Repository!D4</f>
        <v>India</v>
      </c>
      <c r="E10" s="44" t="str">
        <f>Data_Repository!E4</f>
        <v>Space Planning</v>
      </c>
      <c r="F10" s="44" t="str">
        <f>Data_Repository!F4</f>
        <v>In Progress</v>
      </c>
      <c r="G10" s="45">
        <f>Data_Repository!G4</f>
        <v>1800000</v>
      </c>
      <c r="H10" s="45">
        <f>Data_Repository!H4</f>
        <v>900000</v>
      </c>
      <c r="I10" s="45">
        <f t="shared" si="0"/>
        <v>900000</v>
      </c>
      <c r="J10" s="46">
        <f t="shared" si="1"/>
        <v>0.5</v>
      </c>
      <c r="K10" s="47">
        <f>Data_Repository!L4</f>
        <v>50</v>
      </c>
      <c r="L10" s="44" t="str">
        <f>Data_Repository!M4</f>
        <v>High</v>
      </c>
      <c r="M10" s="44" t="str">
        <f>Data_Repository!N4</f>
        <v>Low</v>
      </c>
      <c r="N10" s="44" t="str">
        <f>Data_Repository!I4</f>
        <v>2024-07-01</v>
      </c>
      <c r="O10" s="44" t="str">
        <f>Data_Repository!J4</f>
        <v>2025-06-30</v>
      </c>
      <c r="P10" s="44" t="str">
        <f>Data_Repository!K4</f>
        <v>Priya Nair</v>
      </c>
      <c r="Q10" s="47">
        <f>Data_Repository!L4</f>
        <v>50</v>
      </c>
      <c r="R10" s="48" t="str">
        <f t="shared" si="2"/>
        <v>🟢 GREEN</v>
      </c>
    </row>
    <row r="11" spans="1:18" x14ac:dyDescent="0.3">
      <c r="A11" s="39" t="str">
        <f>Data_Repository!A5</f>
        <v>P003</v>
      </c>
      <c r="B11" s="39" t="str">
        <f>Data_Repository!B5</f>
        <v>Tokyo Data Centre</v>
      </c>
      <c r="C11" s="39" t="str">
        <f>Data_Repository!C5</f>
        <v>APAC</v>
      </c>
      <c r="D11" s="39" t="str">
        <f>Data_Repository!D5</f>
        <v>Japan</v>
      </c>
      <c r="E11" s="39" t="str">
        <f>Data_Repository!E5</f>
        <v>MEP</v>
      </c>
      <c r="F11" s="39" t="str">
        <f>Data_Repository!F5</f>
        <v>Completed</v>
      </c>
      <c r="G11" s="40">
        <f>Data_Repository!G5</f>
        <v>4200000</v>
      </c>
      <c r="H11" s="40">
        <f>Data_Repository!H5</f>
        <v>4350000</v>
      </c>
      <c r="I11" s="40">
        <f t="shared" si="0"/>
        <v>-150000</v>
      </c>
      <c r="J11" s="41">
        <f t="shared" si="1"/>
        <v>-3.5714285714285712E-2</v>
      </c>
      <c r="K11" s="42">
        <f>Data_Repository!L5</f>
        <v>100</v>
      </c>
      <c r="L11" s="39" t="str">
        <f>Data_Repository!M5</f>
        <v>Critical</v>
      </c>
      <c r="M11" s="39" t="str">
        <f>Data_Repository!N5</f>
        <v>High</v>
      </c>
      <c r="N11" s="39" t="str">
        <f>Data_Repository!I5</f>
        <v>2023-10-01</v>
      </c>
      <c r="O11" s="39" t="str">
        <f>Data_Repository!J5</f>
        <v>2024-09-30</v>
      </c>
      <c r="P11" s="39" t="str">
        <f>Data_Repository!K5</f>
        <v>Kenji Tanaka</v>
      </c>
      <c r="Q11" s="42">
        <f>Data_Repository!L5</f>
        <v>100</v>
      </c>
      <c r="R11" s="43" t="str">
        <f t="shared" si="2"/>
        <v>🟡 AMBER</v>
      </c>
    </row>
    <row r="12" spans="1:18" x14ac:dyDescent="0.3">
      <c r="A12" s="44" t="str">
        <f>Data_Repository!A6</f>
        <v>P004</v>
      </c>
      <c r="B12" s="44" t="str">
        <f>Data_Repository!B6</f>
        <v>Sydney Office Refurb</v>
      </c>
      <c r="C12" s="44" t="str">
        <f>Data_Repository!C6</f>
        <v>APAC</v>
      </c>
      <c r="D12" s="44" t="str">
        <f>Data_Repository!D6</f>
        <v>Australia</v>
      </c>
      <c r="E12" s="44" t="str">
        <f>Data_Repository!E6</f>
        <v>Interior Fit-out</v>
      </c>
      <c r="F12" s="44" t="str">
        <f>Data_Repository!F6</f>
        <v>Completed</v>
      </c>
      <c r="G12" s="45">
        <f>Data_Repository!G6</f>
        <v>950000</v>
      </c>
      <c r="H12" s="45">
        <f>Data_Repository!H6</f>
        <v>880000</v>
      </c>
      <c r="I12" s="45">
        <f t="shared" si="0"/>
        <v>70000</v>
      </c>
      <c r="J12" s="46">
        <f t="shared" si="1"/>
        <v>7.3684210526315783E-2</v>
      </c>
      <c r="K12" s="47">
        <f>Data_Repository!L6</f>
        <v>100</v>
      </c>
      <c r="L12" s="44" t="str">
        <f>Data_Repository!M6</f>
        <v>Medium</v>
      </c>
      <c r="M12" s="44" t="str">
        <f>Data_Repository!N6</f>
        <v>Low</v>
      </c>
      <c r="N12" s="44" t="str">
        <f>Data_Repository!I6</f>
        <v>2024-01-15</v>
      </c>
      <c r="O12" s="44" t="str">
        <f>Data_Repository!J6</f>
        <v>2024-08-15</v>
      </c>
      <c r="P12" s="44" t="str">
        <f>Data_Repository!K6</f>
        <v>Sarah Lee</v>
      </c>
      <c r="Q12" s="47">
        <f>Data_Repository!L6</f>
        <v>100</v>
      </c>
      <c r="R12" s="48" t="str">
        <f t="shared" si="2"/>
        <v>🟢 GREEN</v>
      </c>
    </row>
    <row r="13" spans="1:18" x14ac:dyDescent="0.3">
      <c r="A13" s="39" t="str">
        <f>Data_Repository!A7</f>
        <v>P005</v>
      </c>
      <c r="B13" s="39" t="str">
        <f>Data_Repository!B7</f>
        <v>Bangkok Regional Hub</v>
      </c>
      <c r="C13" s="39" t="str">
        <f>Data_Repository!C7</f>
        <v>APAC</v>
      </c>
      <c r="D13" s="39" t="str">
        <f>Data_Repository!D7</f>
        <v>Thailand</v>
      </c>
      <c r="E13" s="39" t="str">
        <f>Data_Repository!E7</f>
        <v>New Build</v>
      </c>
      <c r="F13" s="39" t="str">
        <f>Data_Repository!F7</f>
        <v>On Hold</v>
      </c>
      <c r="G13" s="40">
        <f>Data_Repository!G7</f>
        <v>3100000</v>
      </c>
      <c r="H13" s="40">
        <f>Data_Repository!H7</f>
        <v>620000</v>
      </c>
      <c r="I13" s="40">
        <f t="shared" si="0"/>
        <v>2480000</v>
      </c>
      <c r="J13" s="41">
        <f t="shared" si="1"/>
        <v>0.8</v>
      </c>
      <c r="K13" s="42">
        <f>Data_Repository!L7</f>
        <v>20</v>
      </c>
      <c r="L13" s="39" t="str">
        <f>Data_Repository!M7</f>
        <v>High</v>
      </c>
      <c r="M13" s="39" t="str">
        <f>Data_Repository!N7</f>
        <v>High</v>
      </c>
      <c r="N13" s="39" t="str">
        <f>Data_Repository!I7</f>
        <v>2024-09-01</v>
      </c>
      <c r="O13" s="39" t="str">
        <f>Data_Repository!J7</f>
        <v>2026-03-31</v>
      </c>
      <c r="P13" s="39" t="str">
        <f>Data_Repository!K7</f>
        <v>Somchai P.</v>
      </c>
      <c r="Q13" s="42">
        <f>Data_Repository!L7</f>
        <v>20</v>
      </c>
      <c r="R13" s="43" t="str">
        <f t="shared" si="2"/>
        <v>🟢 GREEN</v>
      </c>
    </row>
    <row r="14" spans="1:18" x14ac:dyDescent="0.3">
      <c r="A14" s="44" t="str">
        <f>Data_Repository!A8</f>
        <v>P006</v>
      </c>
      <c r="B14" s="44" t="str">
        <f>Data_Repository!B8</f>
        <v>Hong Kong Fit-out</v>
      </c>
      <c r="C14" s="44" t="str">
        <f>Data_Repository!C8</f>
        <v>APAC</v>
      </c>
      <c r="D14" s="44" t="str">
        <f>Data_Repository!D8</f>
        <v>Hong Kong</v>
      </c>
      <c r="E14" s="44" t="str">
        <f>Data_Repository!E8</f>
        <v>Interior Fit-out</v>
      </c>
      <c r="F14" s="44" t="str">
        <f>Data_Repository!F8</f>
        <v>In Progress</v>
      </c>
      <c r="G14" s="45">
        <f>Data_Repository!G8</f>
        <v>1400000</v>
      </c>
      <c r="H14" s="45">
        <f>Data_Repository!H8</f>
        <v>840000</v>
      </c>
      <c r="I14" s="45">
        <f t="shared" si="0"/>
        <v>560000</v>
      </c>
      <c r="J14" s="46">
        <f t="shared" si="1"/>
        <v>0.4</v>
      </c>
      <c r="K14" s="47">
        <f>Data_Repository!L8</f>
        <v>60</v>
      </c>
      <c r="L14" s="44" t="str">
        <f>Data_Repository!M8</f>
        <v>Medium</v>
      </c>
      <c r="M14" s="44" t="str">
        <f>Data_Repository!N8</f>
        <v>Medium</v>
      </c>
      <c r="N14" s="44" t="str">
        <f>Data_Repository!I8</f>
        <v>2024-10-01</v>
      </c>
      <c r="O14" s="44" t="str">
        <f>Data_Repository!J8</f>
        <v>2025-04-30</v>
      </c>
      <c r="P14" s="44" t="str">
        <f>Data_Repository!K8</f>
        <v>Amy Chan</v>
      </c>
      <c r="Q14" s="47">
        <f>Data_Repository!L8</f>
        <v>60</v>
      </c>
      <c r="R14" s="48" t="str">
        <f t="shared" si="2"/>
        <v>🟢 GREEN</v>
      </c>
    </row>
    <row r="15" spans="1:18" x14ac:dyDescent="0.3">
      <c r="A15" s="39" t="str">
        <f>Data_Repository!A9</f>
        <v>P007</v>
      </c>
      <c r="B15" s="39" t="str">
        <f>Data_Repository!B9</f>
        <v>Seoul Tech Campus</v>
      </c>
      <c r="C15" s="39" t="str">
        <f>Data_Repository!C9</f>
        <v>APAC</v>
      </c>
      <c r="D15" s="39" t="str">
        <f>Data_Repository!D9</f>
        <v>South Korea</v>
      </c>
      <c r="E15" s="39" t="str">
        <f>Data_Repository!E9</f>
        <v>New Build</v>
      </c>
      <c r="F15" s="39" t="str">
        <f>Data_Repository!F9</f>
        <v>Planning</v>
      </c>
      <c r="G15" s="40">
        <f>Data_Repository!G9</f>
        <v>5500000</v>
      </c>
      <c r="H15" s="40">
        <f>Data_Repository!H9</f>
        <v>110000</v>
      </c>
      <c r="I15" s="40">
        <f t="shared" si="0"/>
        <v>5390000</v>
      </c>
      <c r="J15" s="41">
        <f t="shared" si="1"/>
        <v>0.98</v>
      </c>
      <c r="K15" s="42">
        <f>Data_Repository!L9</f>
        <v>2</v>
      </c>
      <c r="L15" s="39" t="str">
        <f>Data_Repository!M9</f>
        <v>Critical</v>
      </c>
      <c r="M15" s="39" t="str">
        <f>Data_Repository!N9</f>
        <v>High</v>
      </c>
      <c r="N15" s="39" t="str">
        <f>Data_Repository!I9</f>
        <v>2025-01-01</v>
      </c>
      <c r="O15" s="39" t="str">
        <f>Data_Repository!J9</f>
        <v>2027-06-30</v>
      </c>
      <c r="P15" s="39" t="str">
        <f>Data_Repository!K9</f>
        <v>Kim Jaeho</v>
      </c>
      <c r="Q15" s="42">
        <f>Data_Repository!L9</f>
        <v>2</v>
      </c>
      <c r="R15" s="43" t="str">
        <f t="shared" si="2"/>
        <v>🟢 GREEN</v>
      </c>
    </row>
    <row r="16" spans="1:18" x14ac:dyDescent="0.3">
      <c r="A16" s="44" t="str">
        <f>Data_Repository!A10</f>
        <v>P008</v>
      </c>
      <c r="B16" s="44" t="str">
        <f>Data_Repository!B10</f>
        <v>Jakarta Fit-out</v>
      </c>
      <c r="C16" s="44" t="str">
        <f>Data_Repository!C10</f>
        <v>APAC</v>
      </c>
      <c r="D16" s="44" t="str">
        <f>Data_Repository!D10</f>
        <v>Indonesia</v>
      </c>
      <c r="E16" s="44" t="str">
        <f>Data_Repository!E10</f>
        <v>Interior Fit-out</v>
      </c>
      <c r="F16" s="44" t="str">
        <f>Data_Repository!F10</f>
        <v>In Progress</v>
      </c>
      <c r="G16" s="45">
        <f>Data_Repository!G10</f>
        <v>750000</v>
      </c>
      <c r="H16" s="45">
        <f>Data_Repository!H10</f>
        <v>375000</v>
      </c>
      <c r="I16" s="45">
        <f t="shared" si="0"/>
        <v>375000</v>
      </c>
      <c r="J16" s="46">
        <f t="shared" si="1"/>
        <v>0.5</v>
      </c>
      <c r="K16" s="47">
        <f>Data_Repository!L10</f>
        <v>50</v>
      </c>
      <c r="L16" s="44" t="str">
        <f>Data_Repository!M10</f>
        <v>Low</v>
      </c>
      <c r="M16" s="44" t="str">
        <f>Data_Repository!N10</f>
        <v>Low</v>
      </c>
      <c r="N16" s="44" t="str">
        <f>Data_Repository!I10</f>
        <v>2024-11-01</v>
      </c>
      <c r="O16" s="44" t="str">
        <f>Data_Repository!J10</f>
        <v>2025-05-31</v>
      </c>
      <c r="P16" s="44" t="str">
        <f>Data_Repository!K10</f>
        <v>Budi Santoso</v>
      </c>
      <c r="Q16" s="47">
        <f>Data_Repository!L10</f>
        <v>50</v>
      </c>
      <c r="R16" s="48" t="str">
        <f t="shared" si="2"/>
        <v>🟢 GREEN</v>
      </c>
    </row>
    <row r="17" spans="1:18" x14ac:dyDescent="0.3">
      <c r="A17" s="39" t="str">
        <f>Data_Repository!A11</f>
        <v>P009</v>
      </c>
      <c r="B17" s="39" t="str">
        <f>Data_Repository!B11</f>
        <v>Manila Office Upgrade</v>
      </c>
      <c r="C17" s="39" t="str">
        <f>Data_Repository!C11</f>
        <v>APAC</v>
      </c>
      <c r="D17" s="39" t="str">
        <f>Data_Repository!D11</f>
        <v>Philippines</v>
      </c>
      <c r="E17" s="39" t="str">
        <f>Data_Repository!E11</f>
        <v>Renovation</v>
      </c>
      <c r="F17" s="39" t="str">
        <f>Data_Repository!F11</f>
        <v>In Progress</v>
      </c>
      <c r="G17" s="40">
        <f>Data_Repository!G11</f>
        <v>620000</v>
      </c>
      <c r="H17" s="40">
        <f>Data_Repository!H11</f>
        <v>310000</v>
      </c>
      <c r="I17" s="40">
        <f t="shared" si="0"/>
        <v>310000</v>
      </c>
      <c r="J17" s="41">
        <f t="shared" si="1"/>
        <v>0.5</v>
      </c>
      <c r="K17" s="42">
        <f>Data_Repository!L11</f>
        <v>50</v>
      </c>
      <c r="L17" s="39" t="str">
        <f>Data_Repository!M11</f>
        <v>Medium</v>
      </c>
      <c r="M17" s="39" t="str">
        <f>Data_Repository!N11</f>
        <v>Medium</v>
      </c>
      <c r="N17" s="39" t="str">
        <f>Data_Repository!I11</f>
        <v>2025-01-01</v>
      </c>
      <c r="O17" s="39" t="str">
        <f>Data_Repository!J11</f>
        <v>2025-07-31</v>
      </c>
      <c r="P17" s="39" t="str">
        <f>Data_Repository!K11</f>
        <v>Maria Santos</v>
      </c>
      <c r="Q17" s="42">
        <f>Data_Repository!L11</f>
        <v>50</v>
      </c>
      <c r="R17" s="43" t="str">
        <f t="shared" si="2"/>
        <v>🟢 GREEN</v>
      </c>
    </row>
    <row r="18" spans="1:18" x14ac:dyDescent="0.3">
      <c r="A18" s="44" t="str">
        <f>Data_Repository!A12</f>
        <v>P010</v>
      </c>
      <c r="B18" s="44" t="str">
        <f>Data_Repository!B12</f>
        <v>Kuala Lumpur Expansion</v>
      </c>
      <c r="C18" s="44" t="str">
        <f>Data_Repository!C12</f>
        <v>APAC</v>
      </c>
      <c r="D18" s="44" t="str">
        <f>Data_Repository!D12</f>
        <v>Malaysia</v>
      </c>
      <c r="E18" s="44" t="str">
        <f>Data_Repository!E12</f>
        <v>Space Planning</v>
      </c>
      <c r="F18" s="44" t="str">
        <f>Data_Repository!F12</f>
        <v>Completed</v>
      </c>
      <c r="G18" s="45">
        <f>Data_Repository!G12</f>
        <v>880000</v>
      </c>
      <c r="H18" s="45">
        <f>Data_Repository!H12</f>
        <v>860000</v>
      </c>
      <c r="I18" s="45">
        <f t="shared" si="0"/>
        <v>20000</v>
      </c>
      <c r="J18" s="46">
        <f t="shared" si="1"/>
        <v>2.2727272727272728E-2</v>
      </c>
      <c r="K18" s="47">
        <f>Data_Repository!L12</f>
        <v>100</v>
      </c>
      <c r="L18" s="44" t="str">
        <f>Data_Repository!M12</f>
        <v>Medium</v>
      </c>
      <c r="M18" s="44" t="str">
        <f>Data_Repository!N12</f>
        <v>Low</v>
      </c>
      <c r="N18" s="44" t="str">
        <f>Data_Repository!I12</f>
        <v>2024-03-01</v>
      </c>
      <c r="O18" s="44" t="str">
        <f>Data_Repository!J12</f>
        <v>2024-11-30</v>
      </c>
      <c r="P18" s="44" t="str">
        <f>Data_Repository!K12</f>
        <v>Ahmad Razak</v>
      </c>
      <c r="Q18" s="47">
        <f>Data_Repository!L12</f>
        <v>100</v>
      </c>
      <c r="R18" s="48" t="str">
        <f t="shared" si="2"/>
        <v>🟢 GREEN</v>
      </c>
    </row>
    <row r="19" spans="1:18" x14ac:dyDescent="0.3">
      <c r="A19" s="39" t="str">
        <f>Data_Repository!A13</f>
        <v>P011</v>
      </c>
      <c r="B19" s="39" t="str">
        <f>Data_Repository!B13</f>
        <v>Chennai DC Upgrade</v>
      </c>
      <c r="C19" s="39" t="str">
        <f>Data_Repository!C13</f>
        <v>APAC</v>
      </c>
      <c r="D19" s="39" t="str">
        <f>Data_Repository!D13</f>
        <v>India</v>
      </c>
      <c r="E19" s="39" t="str">
        <f>Data_Repository!E13</f>
        <v>MEP</v>
      </c>
      <c r="F19" s="39" t="str">
        <f>Data_Repository!F13</f>
        <v>In Progress</v>
      </c>
      <c r="G19" s="40">
        <f>Data_Repository!G13</f>
        <v>2200000</v>
      </c>
      <c r="H19" s="40">
        <f>Data_Repository!H13</f>
        <v>1320000</v>
      </c>
      <c r="I19" s="40">
        <f t="shared" si="0"/>
        <v>880000</v>
      </c>
      <c r="J19" s="41">
        <f t="shared" si="1"/>
        <v>0.4</v>
      </c>
      <c r="K19" s="42">
        <f>Data_Repository!L13</f>
        <v>60</v>
      </c>
      <c r="L19" s="39" t="str">
        <f>Data_Repository!M13</f>
        <v>High</v>
      </c>
      <c r="M19" s="39" t="str">
        <f>Data_Repository!N13</f>
        <v>Medium</v>
      </c>
      <c r="N19" s="39" t="str">
        <f>Data_Repository!I13</f>
        <v>2024-08-01</v>
      </c>
      <c r="O19" s="39" t="str">
        <f>Data_Repository!J13</f>
        <v>2025-08-31</v>
      </c>
      <c r="P19" s="39" t="str">
        <f>Data_Repository!K13</f>
        <v>Suresh Kumar</v>
      </c>
      <c r="Q19" s="42">
        <f>Data_Repository!L13</f>
        <v>60</v>
      </c>
      <c r="R19" s="43" t="str">
        <f t="shared" si="2"/>
        <v>🟢 GREEN</v>
      </c>
    </row>
    <row r="20" spans="1:18" x14ac:dyDescent="0.3">
      <c r="A20" s="44" t="str">
        <f>Data_Repository!A14</f>
        <v>P012</v>
      </c>
      <c r="B20" s="44" t="str">
        <f>Data_Repository!B14</f>
        <v>Bangalore Campus Phase2</v>
      </c>
      <c r="C20" s="44" t="str">
        <f>Data_Repository!C14</f>
        <v>APAC</v>
      </c>
      <c r="D20" s="44" t="str">
        <f>Data_Repository!D14</f>
        <v>India</v>
      </c>
      <c r="E20" s="44" t="str">
        <f>Data_Repository!E14</f>
        <v>New Build</v>
      </c>
      <c r="F20" s="44" t="str">
        <f>Data_Repository!F14</f>
        <v>Planning</v>
      </c>
      <c r="G20" s="45">
        <f>Data_Repository!G14</f>
        <v>7500000</v>
      </c>
      <c r="H20" s="45">
        <f>Data_Repository!H14</f>
        <v>150000</v>
      </c>
      <c r="I20" s="45">
        <f t="shared" si="0"/>
        <v>7350000</v>
      </c>
      <c r="J20" s="46">
        <f t="shared" si="1"/>
        <v>0.98</v>
      </c>
      <c r="K20" s="47">
        <f>Data_Repository!L14</f>
        <v>2</v>
      </c>
      <c r="L20" s="44" t="str">
        <f>Data_Repository!M14</f>
        <v>Critical</v>
      </c>
      <c r="M20" s="44" t="str">
        <f>Data_Repository!N14</f>
        <v>High</v>
      </c>
      <c r="N20" s="44" t="str">
        <f>Data_Repository!I14</f>
        <v>2025-06-01</v>
      </c>
      <c r="O20" s="44" t="str">
        <f>Data_Repository!J14</f>
        <v>2028-05-31</v>
      </c>
      <c r="P20" s="44" t="str">
        <f>Data_Repository!K14</f>
        <v>Deepa Reddy</v>
      </c>
      <c r="Q20" s="47">
        <f>Data_Repository!L14</f>
        <v>2</v>
      </c>
      <c r="R20" s="48" t="str">
        <f t="shared" si="2"/>
        <v>🟢 GREEN</v>
      </c>
    </row>
  </sheetData>
  <mergeCells count="16">
    <mergeCell ref="K6:L6"/>
    <mergeCell ref="M6:N6"/>
    <mergeCell ref="A6:B6"/>
    <mergeCell ref="C6:D6"/>
    <mergeCell ref="E6:F6"/>
    <mergeCell ref="G6:H6"/>
    <mergeCell ref="I6:J6"/>
    <mergeCell ref="A1:R2"/>
    <mergeCell ref="A3:R3"/>
    <mergeCell ref="A5:B5"/>
    <mergeCell ref="C5:D5"/>
    <mergeCell ref="E5:F5"/>
    <mergeCell ref="G5:H5"/>
    <mergeCell ref="I5:J5"/>
    <mergeCell ref="K5:L5"/>
    <mergeCell ref="M5:N5"/>
  </mergeCells>
  <conditionalFormatting sqref="K9:K20">
    <cfRule type="dataBar" priority="2">
      <dataBar>
        <cfvo type="num" val="0"/>
        <cfvo type="num" val="1"/>
        <color rgb="FF2E75B6"/>
      </dataBar>
      <extLst>
        <ext xmlns:x14="http://schemas.microsoft.com/office/spreadsheetml/2009/9/main" uri="{B025F937-C7B1-47D3-B67F-A62EFF666E3E}">
          <x14:id>{52A6C439-B2CA-4AC3-9AE2-BD18847353F8}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A6C439-B2CA-4AC3-9AE2-BD18847353F8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2E75B6"/>
            </x14:dataBar>
          </x14:cfRule>
          <xm:sqref>K9:K20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9"/>
  <sheetViews>
    <sheetView showGridLines="0" zoomScaleNormal="100" workbookViewId="0">
      <pane ySplit="8" topLeftCell="A9" activePane="bottomLeft" state="frozen"/>
      <selection pane="bottomLeft" sqref="A1:R2"/>
    </sheetView>
  </sheetViews>
  <sheetFormatPr defaultColWidth="8.6640625" defaultRowHeight="14.4" x14ac:dyDescent="0.3"/>
  <cols>
    <col min="1" max="19" width="13" customWidth="1"/>
  </cols>
  <sheetData>
    <row r="1" spans="1:18" x14ac:dyDescent="0.3">
      <c r="A1" s="75" t="s">
        <v>196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</row>
    <row r="2" spans="1:18" x14ac:dyDescent="0.3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</row>
    <row r="3" spans="1:18" x14ac:dyDescent="0.3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</row>
    <row r="5" spans="1:18" x14ac:dyDescent="0.3">
      <c r="A5" s="92" t="s">
        <v>197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</row>
    <row r="6" spans="1:18" x14ac:dyDescent="0.3">
      <c r="A6" s="49" t="s">
        <v>133</v>
      </c>
      <c r="B6" s="49" t="s">
        <v>198</v>
      </c>
      <c r="C6" s="49" t="s">
        <v>199</v>
      </c>
      <c r="D6" s="49" t="s">
        <v>200</v>
      </c>
      <c r="E6" s="49" t="s">
        <v>201</v>
      </c>
      <c r="F6" s="49" t="s">
        <v>202</v>
      </c>
      <c r="G6" s="49" t="s">
        <v>203</v>
      </c>
      <c r="H6" s="49" t="s">
        <v>204</v>
      </c>
      <c r="I6" s="49" t="s">
        <v>205</v>
      </c>
      <c r="J6" s="49" t="s">
        <v>206</v>
      </c>
      <c r="K6" s="49" t="s">
        <v>207</v>
      </c>
      <c r="L6" s="49" t="s">
        <v>208</v>
      </c>
      <c r="M6" s="49" t="s">
        <v>209</v>
      </c>
      <c r="N6" s="49" t="s">
        <v>210</v>
      </c>
    </row>
    <row r="7" spans="1:18" x14ac:dyDescent="0.3">
      <c r="A7" s="39" t="s">
        <v>142</v>
      </c>
      <c r="B7" s="50">
        <v>2240975</v>
      </c>
      <c r="C7" s="50">
        <v>1912446</v>
      </c>
      <c r="D7" s="40">
        <f t="shared" ref="D7:D18" si="0">B7-C7</f>
        <v>328529</v>
      </c>
      <c r="E7" s="41">
        <f t="shared" ref="E7:E18" si="1">IFERROR(D7/B7,0)</f>
        <v>0.14660092147391202</v>
      </c>
      <c r="F7" s="50">
        <v>588786</v>
      </c>
      <c r="G7" s="50">
        <v>547279</v>
      </c>
      <c r="H7" s="40">
        <f t="shared" ref="H7:H18" si="2">F7-G7</f>
        <v>41507</v>
      </c>
      <c r="I7" s="41">
        <f t="shared" ref="I7:I18" si="3">IFERROR(H7/F7,0)</f>
        <v>7.0495901736794014E-2</v>
      </c>
      <c r="J7" s="40">
        <f t="shared" ref="J7:J18" si="4">B7+F7</f>
        <v>2829761</v>
      </c>
      <c r="K7" s="40">
        <f t="shared" ref="K7:K18" si="5">C7+G7</f>
        <v>2459725</v>
      </c>
      <c r="L7" s="40">
        <f t="shared" ref="L7:L18" si="6">J7-K7</f>
        <v>370036</v>
      </c>
      <c r="M7" s="40">
        <f t="shared" ref="M7:M18" si="7">MAX(0,J7-K7)</f>
        <v>370036</v>
      </c>
      <c r="N7" s="51">
        <f t="shared" ref="N7:N18" si="8">IFERROR(J7/K7*100,100)</f>
        <v>115.04379554625008</v>
      </c>
    </row>
    <row r="8" spans="1:18" x14ac:dyDescent="0.3">
      <c r="A8" s="52" t="s">
        <v>144</v>
      </c>
      <c r="B8" s="50">
        <v>1368106</v>
      </c>
      <c r="C8" s="50">
        <v>1179117</v>
      </c>
      <c r="D8" s="53">
        <f t="shared" si="0"/>
        <v>188989</v>
      </c>
      <c r="E8" s="54">
        <f t="shared" si="1"/>
        <v>0.13813915003661997</v>
      </c>
      <c r="F8" s="50">
        <v>253736</v>
      </c>
      <c r="G8" s="50">
        <v>254194</v>
      </c>
      <c r="H8" s="53">
        <f t="shared" si="2"/>
        <v>-458</v>
      </c>
      <c r="I8" s="54">
        <f t="shared" si="3"/>
        <v>-1.8050256959989911E-3</v>
      </c>
      <c r="J8" s="53">
        <f t="shared" si="4"/>
        <v>1621842</v>
      </c>
      <c r="K8" s="53">
        <f t="shared" si="5"/>
        <v>1433311</v>
      </c>
      <c r="L8" s="53">
        <f t="shared" si="6"/>
        <v>188531</v>
      </c>
      <c r="M8" s="53">
        <f t="shared" si="7"/>
        <v>188531</v>
      </c>
      <c r="N8" s="55">
        <f t="shared" si="8"/>
        <v>113.15353053175478</v>
      </c>
    </row>
    <row r="9" spans="1:18" x14ac:dyDescent="0.3">
      <c r="A9" s="39" t="s">
        <v>145</v>
      </c>
      <c r="B9" s="50">
        <v>2771036</v>
      </c>
      <c r="C9" s="50">
        <v>2725618</v>
      </c>
      <c r="D9" s="40">
        <f t="shared" si="0"/>
        <v>45418</v>
      </c>
      <c r="E9" s="41">
        <f t="shared" si="1"/>
        <v>1.639025981618427E-2</v>
      </c>
      <c r="F9" s="50">
        <v>509588</v>
      </c>
      <c r="G9" s="50">
        <v>487138</v>
      </c>
      <c r="H9" s="40">
        <f t="shared" si="2"/>
        <v>22450</v>
      </c>
      <c r="I9" s="41">
        <f t="shared" si="3"/>
        <v>4.4055197532123988E-2</v>
      </c>
      <c r="J9" s="40">
        <f t="shared" si="4"/>
        <v>3280624</v>
      </c>
      <c r="K9" s="40">
        <f t="shared" si="5"/>
        <v>3212756</v>
      </c>
      <c r="L9" s="40">
        <f t="shared" si="6"/>
        <v>67868</v>
      </c>
      <c r="M9" s="40">
        <f t="shared" si="7"/>
        <v>67868</v>
      </c>
      <c r="N9" s="51">
        <f t="shared" si="8"/>
        <v>102.11245422932834</v>
      </c>
    </row>
    <row r="10" spans="1:18" x14ac:dyDescent="0.3">
      <c r="A10" s="52" t="s">
        <v>146</v>
      </c>
      <c r="B10" s="50">
        <v>962489</v>
      </c>
      <c r="C10" s="50">
        <v>816295</v>
      </c>
      <c r="D10" s="53">
        <f t="shared" si="0"/>
        <v>146194</v>
      </c>
      <c r="E10" s="54">
        <f t="shared" si="1"/>
        <v>0.15189160603393909</v>
      </c>
      <c r="F10" s="50">
        <v>321981</v>
      </c>
      <c r="G10" s="50">
        <v>312631</v>
      </c>
      <c r="H10" s="53">
        <f t="shared" si="2"/>
        <v>9350</v>
      </c>
      <c r="I10" s="54">
        <f t="shared" si="3"/>
        <v>2.9038980560964777E-2</v>
      </c>
      <c r="J10" s="53">
        <f t="shared" si="4"/>
        <v>1284470</v>
      </c>
      <c r="K10" s="53">
        <f t="shared" si="5"/>
        <v>1128926</v>
      </c>
      <c r="L10" s="53">
        <f t="shared" si="6"/>
        <v>155544</v>
      </c>
      <c r="M10" s="53">
        <f t="shared" si="7"/>
        <v>155544</v>
      </c>
      <c r="N10" s="55">
        <f t="shared" si="8"/>
        <v>113.77805099714242</v>
      </c>
    </row>
    <row r="11" spans="1:18" x14ac:dyDescent="0.3">
      <c r="A11" s="39" t="s">
        <v>147</v>
      </c>
      <c r="B11" s="50">
        <v>955649</v>
      </c>
      <c r="C11" s="50">
        <v>944538</v>
      </c>
      <c r="D11" s="40">
        <f t="shared" si="0"/>
        <v>11111</v>
      </c>
      <c r="E11" s="41">
        <f t="shared" si="1"/>
        <v>1.162665371909561E-2</v>
      </c>
      <c r="F11" s="50">
        <v>575400</v>
      </c>
      <c r="G11" s="50">
        <v>573661</v>
      </c>
      <c r="H11" s="40">
        <f t="shared" si="2"/>
        <v>1739</v>
      </c>
      <c r="I11" s="41">
        <f t="shared" si="3"/>
        <v>3.0222453945081681E-3</v>
      </c>
      <c r="J11" s="40">
        <f t="shared" si="4"/>
        <v>1531049</v>
      </c>
      <c r="K11" s="40">
        <f t="shared" si="5"/>
        <v>1518199</v>
      </c>
      <c r="L11" s="40">
        <f t="shared" si="6"/>
        <v>12850</v>
      </c>
      <c r="M11" s="40">
        <f t="shared" si="7"/>
        <v>12850</v>
      </c>
      <c r="N11" s="51">
        <f t="shared" si="8"/>
        <v>100.84639760663788</v>
      </c>
    </row>
    <row r="12" spans="1:18" x14ac:dyDescent="0.3">
      <c r="A12" s="52" t="s">
        <v>148</v>
      </c>
      <c r="B12" s="50">
        <v>2042825</v>
      </c>
      <c r="C12" s="50">
        <v>1932218</v>
      </c>
      <c r="D12" s="53">
        <f t="shared" si="0"/>
        <v>110607</v>
      </c>
      <c r="E12" s="54">
        <f t="shared" si="1"/>
        <v>5.4144138631551895E-2</v>
      </c>
      <c r="F12" s="50">
        <v>435514</v>
      </c>
      <c r="G12" s="50">
        <v>429446</v>
      </c>
      <c r="H12" s="53">
        <f t="shared" si="2"/>
        <v>6068</v>
      </c>
      <c r="I12" s="54">
        <f t="shared" si="3"/>
        <v>1.3932961971371758E-2</v>
      </c>
      <c r="J12" s="53">
        <f t="shared" si="4"/>
        <v>2478339</v>
      </c>
      <c r="K12" s="53">
        <f t="shared" si="5"/>
        <v>2361664</v>
      </c>
      <c r="L12" s="53">
        <f t="shared" si="6"/>
        <v>116675</v>
      </c>
      <c r="M12" s="53">
        <f t="shared" si="7"/>
        <v>116675</v>
      </c>
      <c r="N12" s="55">
        <f t="shared" si="8"/>
        <v>104.94037255087937</v>
      </c>
    </row>
    <row r="13" spans="1:18" x14ac:dyDescent="0.3">
      <c r="A13" s="39" t="s">
        <v>149</v>
      </c>
      <c r="B13" s="50">
        <v>2597498</v>
      </c>
      <c r="C13" s="50">
        <v>2807350</v>
      </c>
      <c r="D13" s="40">
        <f t="shared" si="0"/>
        <v>-209852</v>
      </c>
      <c r="E13" s="41">
        <f t="shared" si="1"/>
        <v>-8.079005258136869E-2</v>
      </c>
      <c r="F13" s="50">
        <v>597833</v>
      </c>
      <c r="G13" s="50">
        <v>612807</v>
      </c>
      <c r="H13" s="40">
        <f t="shared" si="2"/>
        <v>-14974</v>
      </c>
      <c r="I13" s="41">
        <f t="shared" si="3"/>
        <v>-2.5047128545931722E-2</v>
      </c>
      <c r="J13" s="40">
        <f t="shared" si="4"/>
        <v>3195331</v>
      </c>
      <c r="K13" s="40">
        <f t="shared" si="5"/>
        <v>3420157</v>
      </c>
      <c r="L13" s="40">
        <f t="shared" si="6"/>
        <v>-224826</v>
      </c>
      <c r="M13" s="40">
        <f t="shared" si="7"/>
        <v>0</v>
      </c>
      <c r="N13" s="51">
        <f t="shared" si="8"/>
        <v>93.426442119469954</v>
      </c>
    </row>
    <row r="14" spans="1:18" x14ac:dyDescent="0.3">
      <c r="A14" s="52" t="s">
        <v>150</v>
      </c>
      <c r="B14" s="50">
        <v>2364104</v>
      </c>
      <c r="C14" s="50">
        <v>2238296</v>
      </c>
      <c r="D14" s="53">
        <f t="shared" si="0"/>
        <v>125808</v>
      </c>
      <c r="E14" s="54">
        <f t="shared" si="1"/>
        <v>5.3215932970799934E-2</v>
      </c>
      <c r="F14" s="50">
        <v>345684</v>
      </c>
      <c r="G14" s="50">
        <v>313876</v>
      </c>
      <c r="H14" s="53">
        <f t="shared" si="2"/>
        <v>31808</v>
      </c>
      <c r="I14" s="54">
        <f t="shared" si="3"/>
        <v>9.2014672359727379E-2</v>
      </c>
      <c r="J14" s="53">
        <f t="shared" si="4"/>
        <v>2709788</v>
      </c>
      <c r="K14" s="53">
        <f t="shared" si="5"/>
        <v>2552172</v>
      </c>
      <c r="L14" s="53">
        <f t="shared" si="6"/>
        <v>157616</v>
      </c>
      <c r="M14" s="53">
        <f t="shared" si="7"/>
        <v>157616</v>
      </c>
      <c r="N14" s="55">
        <f t="shared" si="8"/>
        <v>106.17575931402743</v>
      </c>
    </row>
    <row r="15" spans="1:18" x14ac:dyDescent="0.3">
      <c r="A15" s="39" t="s">
        <v>151</v>
      </c>
      <c r="B15" s="50">
        <v>2501163</v>
      </c>
      <c r="C15" s="50">
        <v>2303517</v>
      </c>
      <c r="D15" s="40">
        <f t="shared" si="0"/>
        <v>197646</v>
      </c>
      <c r="E15" s="41">
        <f t="shared" si="1"/>
        <v>7.9021639133475111E-2</v>
      </c>
      <c r="F15" s="50">
        <v>248625</v>
      </c>
      <c r="G15" s="50">
        <v>235792</v>
      </c>
      <c r="H15" s="40">
        <f t="shared" si="2"/>
        <v>12833</v>
      </c>
      <c r="I15" s="41">
        <f t="shared" si="3"/>
        <v>5.1615887380593264E-2</v>
      </c>
      <c r="J15" s="40">
        <f t="shared" si="4"/>
        <v>2749788</v>
      </c>
      <c r="K15" s="40">
        <f t="shared" si="5"/>
        <v>2539309</v>
      </c>
      <c r="L15" s="40">
        <f t="shared" si="6"/>
        <v>210479</v>
      </c>
      <c r="M15" s="40">
        <f t="shared" si="7"/>
        <v>210479</v>
      </c>
      <c r="N15" s="51">
        <f t="shared" si="8"/>
        <v>108.2888297564416</v>
      </c>
    </row>
    <row r="16" spans="1:18" x14ac:dyDescent="0.3">
      <c r="A16" s="52" t="s">
        <v>152</v>
      </c>
      <c r="B16" s="50">
        <v>1652834</v>
      </c>
      <c r="C16" s="50">
        <v>1775554</v>
      </c>
      <c r="D16" s="53">
        <f t="shared" si="0"/>
        <v>-122720</v>
      </c>
      <c r="E16" s="54">
        <f t="shared" si="1"/>
        <v>-7.4248230614810687E-2</v>
      </c>
      <c r="F16" s="50">
        <v>516526</v>
      </c>
      <c r="G16" s="50">
        <v>479136</v>
      </c>
      <c r="H16" s="53">
        <f t="shared" si="2"/>
        <v>37390</v>
      </c>
      <c r="I16" s="54">
        <f t="shared" si="3"/>
        <v>7.2387450002516812E-2</v>
      </c>
      <c r="J16" s="53">
        <f t="shared" si="4"/>
        <v>2169360</v>
      </c>
      <c r="K16" s="53">
        <f t="shared" si="5"/>
        <v>2254690</v>
      </c>
      <c r="L16" s="53">
        <f t="shared" si="6"/>
        <v>-85330</v>
      </c>
      <c r="M16" s="53">
        <f t="shared" si="7"/>
        <v>0</v>
      </c>
      <c r="N16" s="55">
        <f t="shared" si="8"/>
        <v>96.215444251759664</v>
      </c>
    </row>
    <row r="17" spans="1:14" x14ac:dyDescent="0.3">
      <c r="A17" s="39" t="s">
        <v>153</v>
      </c>
      <c r="B17" s="50">
        <v>991122</v>
      </c>
      <c r="C17" s="50">
        <v>1029696</v>
      </c>
      <c r="D17" s="40">
        <f t="shared" si="0"/>
        <v>-38574</v>
      </c>
      <c r="E17" s="41">
        <f t="shared" si="1"/>
        <v>-3.8919527565728536E-2</v>
      </c>
      <c r="F17" s="50">
        <v>481137</v>
      </c>
      <c r="G17" s="50">
        <v>434211</v>
      </c>
      <c r="H17" s="40">
        <f t="shared" si="2"/>
        <v>46926</v>
      </c>
      <c r="I17" s="41">
        <f t="shared" si="3"/>
        <v>9.7531472324930327E-2</v>
      </c>
      <c r="J17" s="40">
        <f t="shared" si="4"/>
        <v>1472259</v>
      </c>
      <c r="K17" s="40">
        <f t="shared" si="5"/>
        <v>1463907</v>
      </c>
      <c r="L17" s="40">
        <f t="shared" si="6"/>
        <v>8352</v>
      </c>
      <c r="M17" s="40">
        <f t="shared" si="7"/>
        <v>8352</v>
      </c>
      <c r="N17" s="51">
        <f t="shared" si="8"/>
        <v>100.57052804583897</v>
      </c>
    </row>
    <row r="18" spans="1:14" x14ac:dyDescent="0.3">
      <c r="A18" s="52" t="s">
        <v>154</v>
      </c>
      <c r="B18" s="50">
        <v>1693844</v>
      </c>
      <c r="C18" s="50">
        <v>1428994</v>
      </c>
      <c r="D18" s="53">
        <f t="shared" si="0"/>
        <v>264850</v>
      </c>
      <c r="E18" s="54">
        <f t="shared" si="1"/>
        <v>0.15636032598043267</v>
      </c>
      <c r="F18" s="50">
        <v>353709</v>
      </c>
      <c r="G18" s="50">
        <v>364070</v>
      </c>
      <c r="H18" s="53">
        <f t="shared" si="2"/>
        <v>-10361</v>
      </c>
      <c r="I18" s="54">
        <f t="shared" si="3"/>
        <v>-2.9292440961355238E-2</v>
      </c>
      <c r="J18" s="53">
        <f t="shared" si="4"/>
        <v>2047553</v>
      </c>
      <c r="K18" s="53">
        <f t="shared" si="5"/>
        <v>1793064</v>
      </c>
      <c r="L18" s="53">
        <f t="shared" si="6"/>
        <v>254489</v>
      </c>
      <c r="M18" s="53">
        <f t="shared" si="7"/>
        <v>254489</v>
      </c>
      <c r="N18" s="55">
        <f t="shared" si="8"/>
        <v>114.1929680145271</v>
      </c>
    </row>
    <row r="19" spans="1:14" x14ac:dyDescent="0.3">
      <c r="A19" s="49" t="s">
        <v>211</v>
      </c>
      <c r="B19" s="56">
        <f>SUM(B7:B18)</f>
        <v>22141645</v>
      </c>
      <c r="C19" s="56">
        <f>SUM(C7:C18)</f>
        <v>21093639</v>
      </c>
      <c r="D19" s="56">
        <f>SUM(D7:D18)</f>
        <v>1048006</v>
      </c>
      <c r="E19" s="57">
        <f>IFERROR(SUM(E7:E18)/12,0)</f>
        <v>5.1119401419508555E-2</v>
      </c>
      <c r="F19" s="56">
        <f>SUM(F7:F18)</f>
        <v>5228519</v>
      </c>
      <c r="G19" s="56">
        <f>SUM(G7:G18)</f>
        <v>5044241</v>
      </c>
      <c r="H19" s="56">
        <f>SUM(H7:H18)</f>
        <v>184278</v>
      </c>
      <c r="I19" s="57">
        <f>IFERROR(SUM(I7:I18)/12,0)</f>
        <v>3.4829181171687047E-2</v>
      </c>
      <c r="J19" s="56">
        <f>SUM(J7:J18)</f>
        <v>27370164</v>
      </c>
      <c r="K19" s="56">
        <f>SUM(K7:K18)</f>
        <v>26137880</v>
      </c>
      <c r="L19" s="56">
        <f>SUM(L7:L18)</f>
        <v>1232284</v>
      </c>
      <c r="M19" s="56">
        <f>SUM(M7:M18)</f>
        <v>1542440</v>
      </c>
      <c r="N19" s="58">
        <f>IFERROR(SUM(N7:N18)/12,0)</f>
        <v>105.72871441367147</v>
      </c>
    </row>
  </sheetData>
  <mergeCells count="3">
    <mergeCell ref="A1:R2"/>
    <mergeCell ref="A3:R3"/>
    <mergeCell ref="A5:R5"/>
  </mergeCells>
  <conditionalFormatting sqref="E7:E18">
    <cfRule type="colorScale" priority="2">
      <colorScale>
        <cfvo type="min"/>
        <cfvo type="num" val="0"/>
        <cfvo type="max"/>
        <color rgb="FFFF0000"/>
        <color rgb="FFFFFF00"/>
        <color rgb="FF70AD47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6"/>
  <sheetViews>
    <sheetView showGridLines="0" zoomScaleNormal="100" workbookViewId="0">
      <pane ySplit="8" topLeftCell="A9" activePane="bottomLeft" state="frozen"/>
      <selection pane="bottomLeft" sqref="A1:T2"/>
    </sheetView>
  </sheetViews>
  <sheetFormatPr defaultColWidth="8.6640625" defaultRowHeight="14.4" x14ac:dyDescent="0.3"/>
  <cols>
    <col min="1" max="21" width="13" customWidth="1"/>
  </cols>
  <sheetData>
    <row r="1" spans="1:20" x14ac:dyDescent="0.3">
      <c r="A1" s="75" t="s">
        <v>212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20" x14ac:dyDescent="0.3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</row>
    <row r="3" spans="1:20" x14ac:dyDescent="0.3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</row>
    <row r="5" spans="1:20" x14ac:dyDescent="0.3">
      <c r="A5" s="92" t="s">
        <v>213</v>
      </c>
      <c r="B5" s="92"/>
      <c r="C5" s="92"/>
      <c r="D5" s="92"/>
      <c r="E5" s="92"/>
      <c r="F5" s="92"/>
      <c r="G5" s="92"/>
      <c r="H5" s="92"/>
      <c r="I5" s="92"/>
      <c r="J5" s="92"/>
    </row>
    <row r="6" spans="1:20" x14ac:dyDescent="0.3">
      <c r="A6" s="23" t="s">
        <v>26</v>
      </c>
      <c r="B6" s="23" t="s">
        <v>214</v>
      </c>
      <c r="C6" s="23" t="s">
        <v>206</v>
      </c>
      <c r="D6" s="23" t="s">
        <v>215</v>
      </c>
      <c r="E6" s="23" t="s">
        <v>188</v>
      </c>
      <c r="F6" s="23" t="s">
        <v>189</v>
      </c>
      <c r="G6" s="23" t="s">
        <v>177</v>
      </c>
      <c r="H6" s="23" t="s">
        <v>209</v>
      </c>
      <c r="I6" s="23" t="s">
        <v>216</v>
      </c>
    </row>
    <row r="7" spans="1:20" x14ac:dyDescent="0.3">
      <c r="A7" s="24" t="s">
        <v>41</v>
      </c>
      <c r="B7" s="39">
        <f>COUNTIF(Data_Repository!E3:E14,A7)</f>
        <v>4</v>
      </c>
      <c r="C7" s="40">
        <f>SUMIF(Data_Repository!E3:E14,A7,Data_Repository!G3:G14)</f>
        <v>5600000</v>
      </c>
      <c r="D7" s="40">
        <f>SUMIF(Data_Repository!E3:E14,A7,Data_Repository!H3:H14)</f>
        <v>3845000</v>
      </c>
      <c r="E7" s="40">
        <f>C7-D7</f>
        <v>1755000</v>
      </c>
      <c r="F7" s="41">
        <f t="shared" ref="F7:F12" si="0">IFERROR(E7/C7,0)</f>
        <v>0.31339285714285714</v>
      </c>
      <c r="G7" s="42">
        <f>IFERROR(AVERAGEIF(Data_Repository!E3:E14,A7,Data_Repository!L3:L14),0)</f>
        <v>70</v>
      </c>
      <c r="H7" s="40">
        <f>MAX(0,C7-D7)</f>
        <v>1755000</v>
      </c>
      <c r="I7" s="39" t="str">
        <f>IF(F7&gt;0,"✅ Under Budget",IF(F7=0,"⚪ On Budget","⚠️ Over Budget"))</f>
        <v>✅ Under Budget</v>
      </c>
    </row>
    <row r="8" spans="1:20" x14ac:dyDescent="0.3">
      <c r="A8" s="29" t="s">
        <v>78</v>
      </c>
      <c r="B8" s="59">
        <f>COUNTIF(Data_Repository!E3:E14,A8)</f>
        <v>3</v>
      </c>
      <c r="C8" s="60">
        <f>SUMIF(Data_Repository!E3:E14,A8,Data_Repository!G3:G14)</f>
        <v>16100000</v>
      </c>
      <c r="D8" s="60">
        <f>SUMIF(Data_Repository!E3:E14,A8,Data_Repository!H3:H14)</f>
        <v>880000</v>
      </c>
      <c r="E8" s="60">
        <f>C8-D8</f>
        <v>15220000</v>
      </c>
      <c r="F8" s="61">
        <f t="shared" si="0"/>
        <v>0.94534161490683233</v>
      </c>
      <c r="G8" s="62">
        <f>IFERROR(AVERAGEIF(Data_Repository!E3:E14,A8,Data_Repository!L3:L14),0)</f>
        <v>8</v>
      </c>
      <c r="H8" s="60">
        <f>MAX(0,C8-D8)</f>
        <v>15220000</v>
      </c>
      <c r="I8" s="59" t="str">
        <f>IF(F8&gt;0,"✅ Under Budget",IF(F8=0,"⚪ On Budget","⚠️ Over Budget"))</f>
        <v>✅ Under Budget</v>
      </c>
    </row>
    <row r="9" spans="1:20" x14ac:dyDescent="0.3">
      <c r="A9" s="24" t="s">
        <v>61</v>
      </c>
      <c r="B9" s="39">
        <f>COUNTIF(Data_Repository!E3:E14,A9)</f>
        <v>2</v>
      </c>
      <c r="C9" s="40">
        <f>SUMIF(Data_Repository!E3:E14,A9,Data_Repository!G3:G14)</f>
        <v>6400000</v>
      </c>
      <c r="D9" s="40">
        <f>SUMIF(Data_Repository!E3:E14,A9,Data_Repository!H3:H14)</f>
        <v>5670000</v>
      </c>
      <c r="E9" s="40">
        <f>C9-D9</f>
        <v>730000</v>
      </c>
      <c r="F9" s="41">
        <f t="shared" si="0"/>
        <v>0.1140625</v>
      </c>
      <c r="G9" s="42">
        <f>IFERROR(AVERAGEIF(Data_Repository!E3:E14,A9,Data_Repository!L3:L14),0)</f>
        <v>80</v>
      </c>
      <c r="H9" s="40">
        <f>MAX(0,C9-D9)</f>
        <v>730000</v>
      </c>
      <c r="I9" s="39" t="str">
        <f>IF(F9&gt;0,"✅ Under Budget",IF(F9=0,"⚪ On Budget","⚠️ Over Budget"))</f>
        <v>✅ Under Budget</v>
      </c>
    </row>
    <row r="10" spans="1:20" x14ac:dyDescent="0.3">
      <c r="A10" s="29" t="s">
        <v>52</v>
      </c>
      <c r="B10" s="59">
        <f>COUNTIF(Data_Repository!E3:E14,A10)</f>
        <v>2</v>
      </c>
      <c r="C10" s="60">
        <f>SUMIF(Data_Repository!E3:E14,A10,Data_Repository!G3:G14)</f>
        <v>2680000</v>
      </c>
      <c r="D10" s="60">
        <f>SUMIF(Data_Repository!E3:E14,A10,Data_Repository!H3:H14)</f>
        <v>1760000</v>
      </c>
      <c r="E10" s="60">
        <f>C10-D10</f>
        <v>920000</v>
      </c>
      <c r="F10" s="61">
        <f t="shared" si="0"/>
        <v>0.34328358208955223</v>
      </c>
      <c r="G10" s="62">
        <f>IFERROR(AVERAGEIF(Data_Repository!E3:E14,A10,Data_Repository!L3:L14),0)</f>
        <v>75</v>
      </c>
      <c r="H10" s="60">
        <f>MAX(0,C10-D10)</f>
        <v>920000</v>
      </c>
      <c r="I10" s="59" t="str">
        <f>IF(F10&gt;0,"✅ Under Budget",IF(F10=0,"⚪ On Budget","⚠️ Over Budget"))</f>
        <v>✅ Under Budget</v>
      </c>
    </row>
    <row r="11" spans="1:20" x14ac:dyDescent="0.3">
      <c r="A11" s="24" t="s">
        <v>109</v>
      </c>
      <c r="B11" s="39">
        <f>COUNTIF(Data_Repository!E3:E14,A11)</f>
        <v>1</v>
      </c>
      <c r="C11" s="40">
        <f>SUMIF(Data_Repository!E3:E14,A11,Data_Repository!G3:G14)</f>
        <v>620000</v>
      </c>
      <c r="D11" s="40">
        <f>SUMIF(Data_Repository!E3:E14,A11,Data_Repository!H3:H14)</f>
        <v>310000</v>
      </c>
      <c r="E11" s="40">
        <f>C11-D11</f>
        <v>310000</v>
      </c>
      <c r="F11" s="41">
        <f t="shared" si="0"/>
        <v>0.5</v>
      </c>
      <c r="G11" s="42">
        <f>IFERROR(AVERAGEIF(Data_Repository!E3:E14,A11,Data_Repository!L3:L14),0)</f>
        <v>50</v>
      </c>
      <c r="H11" s="40">
        <f>MAX(0,C11-D11)</f>
        <v>310000</v>
      </c>
      <c r="I11" s="39" t="str">
        <f>IF(F11&gt;0,"✅ Under Budget",IF(F11=0,"⚪ On Budget","⚠️ Over Budget"))</f>
        <v>✅ Under Budget</v>
      </c>
    </row>
    <row r="12" spans="1:20" x14ac:dyDescent="0.3">
      <c r="A12" s="49" t="s">
        <v>179</v>
      </c>
      <c r="B12" s="49">
        <f>SUM(B7:B11)</f>
        <v>12</v>
      </c>
      <c r="C12" s="56">
        <f>SUM(C7:C11)</f>
        <v>31400000</v>
      </c>
      <c r="D12" s="56">
        <f>SUM(D7:D11)</f>
        <v>12465000</v>
      </c>
      <c r="E12" s="56">
        <f>SUM(E7:E11)</f>
        <v>18935000</v>
      </c>
      <c r="F12" s="57">
        <f t="shared" si="0"/>
        <v>0.60302547770700632</v>
      </c>
      <c r="G12" s="63">
        <f>AVERAGE(G7:G11)</f>
        <v>56.6</v>
      </c>
      <c r="H12" s="56">
        <f>SUM(H7:H11)</f>
        <v>18935000</v>
      </c>
      <c r="I12" s="49"/>
    </row>
    <row r="15" spans="1:20" x14ac:dyDescent="0.3">
      <c r="A15" s="110" t="s">
        <v>217</v>
      </c>
      <c r="B15" s="110"/>
      <c r="C15" s="110"/>
      <c r="D15" s="110"/>
      <c r="E15" s="110"/>
      <c r="F15" s="110"/>
      <c r="G15" s="110"/>
      <c r="H15" s="110"/>
      <c r="I15" s="110"/>
      <c r="J15" s="110"/>
    </row>
    <row r="16" spans="1:20" x14ac:dyDescent="0.3">
      <c r="A16" s="64" t="s">
        <v>218</v>
      </c>
      <c r="B16" s="64" t="s">
        <v>219</v>
      </c>
      <c r="C16" s="64" t="s">
        <v>220</v>
      </c>
      <c r="D16" s="64" t="s">
        <v>221</v>
      </c>
      <c r="E16" s="64" t="s">
        <v>188</v>
      </c>
      <c r="F16" s="64" t="s">
        <v>222</v>
      </c>
      <c r="G16" s="64" t="s">
        <v>177</v>
      </c>
      <c r="H16" s="64" t="s">
        <v>223</v>
      </c>
    </row>
    <row r="17" spans="1:8" x14ac:dyDescent="0.3">
      <c r="A17" s="24" t="s">
        <v>51</v>
      </c>
      <c r="B17" s="39">
        <f>COUNTIF(Data_Repository!D3:D14,A17)</f>
        <v>3</v>
      </c>
      <c r="C17" s="40">
        <f>SUMIF(Data_Repository!D3:D14,A17,Data_Repository!G3:G14)</f>
        <v>11500000</v>
      </c>
      <c r="D17" s="40">
        <f>SUMIF(Data_Repository!D3:D14,A17,Data_Repository!H3:H14)</f>
        <v>2370000</v>
      </c>
      <c r="E17" s="40">
        <f t="shared" ref="E17:E26" si="1">C17-D17</f>
        <v>9130000</v>
      </c>
      <c r="F17" s="41">
        <f t="shared" ref="F17:F26" si="2">IFERROR(E17/C17,0)</f>
        <v>0.79391304347826086</v>
      </c>
      <c r="G17" s="42">
        <f>IFERROR(AVERAGEIF(Data_Repository!D3:D14,A17,Data_Repository!L3:L14),0)</f>
        <v>37.333333333333336</v>
      </c>
      <c r="H17" s="39" t="str">
        <f t="shared" ref="H17:H26" si="3">IF(F17&lt;-0.1,"🔴 RED",IF(F17&lt;0,"🟡 AMBER","🟢 GREEN"))</f>
        <v>🟢 GREEN</v>
      </c>
    </row>
    <row r="18" spans="1:8" x14ac:dyDescent="0.3">
      <c r="A18" s="65" t="s">
        <v>40</v>
      </c>
      <c r="B18" s="44">
        <f>COUNTIF(Data_Repository!D3:D14,A18)</f>
        <v>1</v>
      </c>
      <c r="C18" s="45">
        <f>SUMIF(Data_Repository!D3:D14,A18,Data_Repository!G3:G14)</f>
        <v>2500000</v>
      </c>
      <c r="D18" s="45">
        <f>SUMIF(Data_Repository!D3:D14,A18,Data_Repository!H3:H14)</f>
        <v>1750000</v>
      </c>
      <c r="E18" s="45">
        <f t="shared" si="1"/>
        <v>750000</v>
      </c>
      <c r="F18" s="46">
        <f t="shared" si="2"/>
        <v>0.3</v>
      </c>
      <c r="G18" s="47">
        <f>IFERROR(AVERAGEIF(Data_Repository!D3:D14,A18,Data_Repository!L3:L14),0)</f>
        <v>70</v>
      </c>
      <c r="H18" s="44" t="str">
        <f t="shared" si="3"/>
        <v>🟢 GREEN</v>
      </c>
    </row>
    <row r="19" spans="1:8" x14ac:dyDescent="0.3">
      <c r="A19" s="24" t="s">
        <v>60</v>
      </c>
      <c r="B19" s="39">
        <f>COUNTIF(Data_Repository!D3:D14,A19)</f>
        <v>1</v>
      </c>
      <c r="C19" s="40">
        <f>SUMIF(Data_Repository!D3:D14,A19,Data_Repository!G3:G14)</f>
        <v>4200000</v>
      </c>
      <c r="D19" s="40">
        <f>SUMIF(Data_Repository!D3:D14,A19,Data_Repository!H3:H14)</f>
        <v>4350000</v>
      </c>
      <c r="E19" s="40">
        <f t="shared" si="1"/>
        <v>-150000</v>
      </c>
      <c r="F19" s="41">
        <f t="shared" si="2"/>
        <v>-3.5714285714285712E-2</v>
      </c>
      <c r="G19" s="42">
        <f>IFERROR(AVERAGEIF(Data_Repository!D3:D14,A19,Data_Repository!L3:L14),0)</f>
        <v>100</v>
      </c>
      <c r="H19" s="39" t="str">
        <f t="shared" si="3"/>
        <v>🟡 AMBER</v>
      </c>
    </row>
    <row r="20" spans="1:8" x14ac:dyDescent="0.3">
      <c r="A20" s="65" t="s">
        <v>70</v>
      </c>
      <c r="B20" s="44">
        <f>COUNTIF(Data_Repository!D3:D14,A20)</f>
        <v>1</v>
      </c>
      <c r="C20" s="45">
        <f>SUMIF(Data_Repository!D3:D14,A20,Data_Repository!G3:G14)</f>
        <v>950000</v>
      </c>
      <c r="D20" s="45">
        <f>SUMIF(Data_Repository!D3:D14,A20,Data_Repository!H3:H14)</f>
        <v>880000</v>
      </c>
      <c r="E20" s="45">
        <f t="shared" si="1"/>
        <v>70000</v>
      </c>
      <c r="F20" s="46">
        <f t="shared" si="2"/>
        <v>7.3684210526315783E-2</v>
      </c>
      <c r="G20" s="47">
        <f>IFERROR(AVERAGEIF(Data_Repository!D3:D14,A20,Data_Repository!L3:L14),0)</f>
        <v>100</v>
      </c>
      <c r="H20" s="44" t="str">
        <f t="shared" si="3"/>
        <v>🟢 GREEN</v>
      </c>
    </row>
    <row r="21" spans="1:8" x14ac:dyDescent="0.3">
      <c r="A21" s="24" t="s">
        <v>77</v>
      </c>
      <c r="B21" s="39">
        <f>COUNTIF(Data_Repository!D3:D14,A21)</f>
        <v>1</v>
      </c>
      <c r="C21" s="40">
        <f>SUMIF(Data_Repository!D3:D14,A21,Data_Repository!G3:G14)</f>
        <v>3100000</v>
      </c>
      <c r="D21" s="40">
        <f>SUMIF(Data_Repository!D3:D14,A21,Data_Repository!H3:H14)</f>
        <v>620000</v>
      </c>
      <c r="E21" s="40">
        <f t="shared" si="1"/>
        <v>2480000</v>
      </c>
      <c r="F21" s="41">
        <f t="shared" si="2"/>
        <v>0.8</v>
      </c>
      <c r="G21" s="42">
        <f>IFERROR(AVERAGEIF(Data_Repository!D3:D14,A21,Data_Repository!L3:L14),0)</f>
        <v>20</v>
      </c>
      <c r="H21" s="39" t="str">
        <f t="shared" si="3"/>
        <v>🟢 GREEN</v>
      </c>
    </row>
    <row r="22" spans="1:8" x14ac:dyDescent="0.3">
      <c r="A22" s="65" t="s">
        <v>86</v>
      </c>
      <c r="B22" s="44">
        <f>COUNTIF(Data_Repository!D3:D14,A22)</f>
        <v>1</v>
      </c>
      <c r="C22" s="45">
        <f>SUMIF(Data_Repository!D3:D14,A22,Data_Repository!G3:G14)</f>
        <v>1400000</v>
      </c>
      <c r="D22" s="45">
        <f>SUMIF(Data_Repository!D3:D14,A22,Data_Repository!H3:H14)</f>
        <v>840000</v>
      </c>
      <c r="E22" s="45">
        <f t="shared" si="1"/>
        <v>560000</v>
      </c>
      <c r="F22" s="46">
        <f t="shared" si="2"/>
        <v>0.4</v>
      </c>
      <c r="G22" s="47">
        <f>IFERROR(AVERAGEIF(Data_Repository!D3:D14,A22,Data_Repository!L3:L14),0)</f>
        <v>60</v>
      </c>
      <c r="H22" s="44" t="str">
        <f t="shared" si="3"/>
        <v>🟢 GREEN</v>
      </c>
    </row>
    <row r="23" spans="1:8" x14ac:dyDescent="0.3">
      <c r="A23" s="24" t="s">
        <v>93</v>
      </c>
      <c r="B23" s="39">
        <f>COUNTIF(Data_Repository!D3:D14,A23)</f>
        <v>1</v>
      </c>
      <c r="C23" s="40">
        <f>SUMIF(Data_Repository!D3:D14,A23,Data_Repository!G3:G14)</f>
        <v>5500000</v>
      </c>
      <c r="D23" s="40">
        <f>SUMIF(Data_Repository!D3:D14,A23,Data_Repository!H3:H14)</f>
        <v>110000</v>
      </c>
      <c r="E23" s="40">
        <f t="shared" si="1"/>
        <v>5390000</v>
      </c>
      <c r="F23" s="41">
        <f t="shared" si="2"/>
        <v>0.98</v>
      </c>
      <c r="G23" s="42">
        <f>IFERROR(AVERAGEIF(Data_Repository!D3:D14,A23,Data_Repository!L3:L14),0)</f>
        <v>2</v>
      </c>
      <c r="H23" s="39" t="str">
        <f t="shared" si="3"/>
        <v>🟢 GREEN</v>
      </c>
    </row>
    <row r="24" spans="1:8" x14ac:dyDescent="0.3">
      <c r="A24" s="65" t="s">
        <v>101</v>
      </c>
      <c r="B24" s="44">
        <f>COUNTIF(Data_Repository!D3:D14,A24)</f>
        <v>1</v>
      </c>
      <c r="C24" s="45">
        <f>SUMIF(Data_Repository!D3:D14,A24,Data_Repository!G3:G14)</f>
        <v>750000</v>
      </c>
      <c r="D24" s="45">
        <f>SUMIF(Data_Repository!D3:D14,A24,Data_Repository!H3:H14)</f>
        <v>375000</v>
      </c>
      <c r="E24" s="45">
        <f t="shared" si="1"/>
        <v>375000</v>
      </c>
      <c r="F24" s="46">
        <f t="shared" si="2"/>
        <v>0.5</v>
      </c>
      <c r="G24" s="47">
        <f>IFERROR(AVERAGEIF(Data_Repository!D3:D14,A24,Data_Repository!L3:L14),0)</f>
        <v>50</v>
      </c>
      <c r="H24" s="44" t="str">
        <f t="shared" si="3"/>
        <v>🟢 GREEN</v>
      </c>
    </row>
    <row r="25" spans="1:8" x14ac:dyDescent="0.3">
      <c r="A25" s="24" t="s">
        <v>108</v>
      </c>
      <c r="B25" s="39">
        <f>COUNTIF(Data_Repository!D3:D14,A25)</f>
        <v>1</v>
      </c>
      <c r="C25" s="40">
        <f>SUMIF(Data_Repository!D3:D14,A25,Data_Repository!G3:G14)</f>
        <v>620000</v>
      </c>
      <c r="D25" s="40">
        <f>SUMIF(Data_Repository!D3:D14,A25,Data_Repository!H3:H14)</f>
        <v>310000</v>
      </c>
      <c r="E25" s="40">
        <f t="shared" si="1"/>
        <v>310000</v>
      </c>
      <c r="F25" s="41">
        <f t="shared" si="2"/>
        <v>0.5</v>
      </c>
      <c r="G25" s="42">
        <f>IFERROR(AVERAGEIF(Data_Repository!D3:D14,A25,Data_Repository!L3:L14),0)</f>
        <v>50</v>
      </c>
      <c r="H25" s="39" t="str">
        <f t="shared" si="3"/>
        <v>🟢 GREEN</v>
      </c>
    </row>
    <row r="26" spans="1:8" x14ac:dyDescent="0.3">
      <c r="A26" s="65" t="s">
        <v>115</v>
      </c>
      <c r="B26" s="44">
        <f>COUNTIF(Data_Repository!D3:D14,A26)</f>
        <v>1</v>
      </c>
      <c r="C26" s="45">
        <f>SUMIF(Data_Repository!D3:D14,A26,Data_Repository!G3:G14)</f>
        <v>880000</v>
      </c>
      <c r="D26" s="45">
        <f>SUMIF(Data_Repository!D3:D14,A26,Data_Repository!H3:H14)</f>
        <v>860000</v>
      </c>
      <c r="E26" s="45">
        <f t="shared" si="1"/>
        <v>20000</v>
      </c>
      <c r="F26" s="46">
        <f t="shared" si="2"/>
        <v>2.2727272727272728E-2</v>
      </c>
      <c r="G26" s="47">
        <f>IFERROR(AVERAGEIF(Data_Repository!D3:D14,A26,Data_Repository!L3:L14),0)</f>
        <v>100</v>
      </c>
      <c r="H26" s="44" t="str">
        <f t="shared" si="3"/>
        <v>🟢 GREEN</v>
      </c>
    </row>
  </sheetData>
  <mergeCells count="4">
    <mergeCell ref="A1:T2"/>
    <mergeCell ref="A3:T3"/>
    <mergeCell ref="A5:J5"/>
    <mergeCell ref="A15:J1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7"/>
  <sheetViews>
    <sheetView showGridLines="0" zoomScaleNormal="100" workbookViewId="0">
      <pane ySplit="8" topLeftCell="A9" activePane="bottomLeft" state="frozen"/>
      <selection pane="bottomLeft" sqref="A1:R2"/>
    </sheetView>
  </sheetViews>
  <sheetFormatPr defaultColWidth="8.6640625" defaultRowHeight="14.4" x14ac:dyDescent="0.3"/>
  <cols>
    <col min="1" max="19" width="14" customWidth="1"/>
  </cols>
  <sheetData>
    <row r="1" spans="1:18" ht="27.75" customHeight="1" x14ac:dyDescent="0.3">
      <c r="A1" s="75" t="s">
        <v>224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</row>
    <row r="2" spans="1:18" ht="27.75" customHeight="1" x14ac:dyDescent="0.3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</row>
    <row r="3" spans="1:18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5" spans="1:18" x14ac:dyDescent="0.3">
      <c r="A5" s="110" t="s">
        <v>225</v>
      </c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</row>
    <row r="6" spans="1:18" x14ac:dyDescent="0.3">
      <c r="A6" s="22" t="s">
        <v>25</v>
      </c>
      <c r="B6" s="22" t="s">
        <v>226</v>
      </c>
      <c r="C6" s="22" t="s">
        <v>62</v>
      </c>
      <c r="D6" s="22" t="s">
        <v>79</v>
      </c>
      <c r="E6" s="22" t="s">
        <v>94</v>
      </c>
      <c r="F6" s="22" t="s">
        <v>206</v>
      </c>
      <c r="G6" s="22" t="s">
        <v>227</v>
      </c>
      <c r="H6" s="22" t="s">
        <v>228</v>
      </c>
      <c r="I6" s="22" t="s">
        <v>177</v>
      </c>
      <c r="J6" s="22" t="s">
        <v>229</v>
      </c>
      <c r="K6" s="22" t="s">
        <v>66</v>
      </c>
      <c r="L6" s="22" t="s">
        <v>195</v>
      </c>
      <c r="M6" s="22" t="s">
        <v>230</v>
      </c>
    </row>
    <row r="7" spans="1:18" x14ac:dyDescent="0.3">
      <c r="A7" s="66" t="s">
        <v>51</v>
      </c>
      <c r="B7" s="39">
        <f>COUNTIFS(Data_Repository!D3:D14,A7,Data_Repository!F3:F14,"In Progress")</f>
        <v>2</v>
      </c>
      <c r="C7" s="39">
        <f>COUNTIFS(Data_Repository!D3:D14,A7,Data_Repository!F3:F14,"Completed")</f>
        <v>0</v>
      </c>
      <c r="D7" s="39">
        <f>COUNTIFS(Data_Repository!D3:D14,A7,Data_Repository!F3:F14,"On Hold")</f>
        <v>0</v>
      </c>
      <c r="E7" s="39">
        <f>COUNTIFS(Data_Repository!D3:D14,A7,Data_Repository!F3:F14,"Planning")</f>
        <v>1</v>
      </c>
      <c r="F7" s="40">
        <f>SUMIF(Data_Repository!D3:D14,A7,Data_Repository!G3:G14)</f>
        <v>11500000</v>
      </c>
      <c r="G7" s="40">
        <f>SUMIF(Data_Repository!D3:D14,A7,Data_Repository!H3:H14)</f>
        <v>2370000</v>
      </c>
      <c r="H7" s="41">
        <f t="shared" ref="H7:H17" si="0">IFERROR(G7/F7,0)</f>
        <v>0.20608695652173914</v>
      </c>
      <c r="I7" s="42">
        <f>IFERROR(AVERAGEIF(Data_Repository!D3:D14,A7,Data_Repository!L3:L14),0)</f>
        <v>37.333333333333336</v>
      </c>
      <c r="J7" s="39">
        <f>COUNTIFS(Data_Repository!D3:D14,A7,Data_Repository!N3:N14,"High")</f>
        <v>1</v>
      </c>
      <c r="K7" s="39">
        <f>COUNTIFS(Data_Repository!D3:D14,A7,Data_Repository!M3:M14,"Critical")</f>
        <v>1</v>
      </c>
      <c r="L7" s="39" t="str">
        <f t="shared" ref="L7:L16" si="1">IF(H7&gt;1.1,"🔴 RED",IF(H7&gt;0.95,"🟡 AMBER","🟢 GREEN"))</f>
        <v>🟢 GREEN</v>
      </c>
      <c r="M7" s="67">
        <f t="shared" ref="M7:M16" si="2">IFERROR(ROUND((1-ABS(H7-1))*50+I7*50,1),0)</f>
        <v>1877</v>
      </c>
    </row>
    <row r="8" spans="1:18" x14ac:dyDescent="0.3">
      <c r="A8" s="68" t="s">
        <v>40</v>
      </c>
      <c r="B8" s="69">
        <f>COUNTIFS(Data_Repository!D3:D14,A8,Data_Repository!F3:F14,"In Progress")</f>
        <v>1</v>
      </c>
      <c r="C8" s="69">
        <f>COUNTIFS(Data_Repository!D3:D14,A8,Data_Repository!F3:F14,"Completed")</f>
        <v>0</v>
      </c>
      <c r="D8" s="69">
        <f>COUNTIFS(Data_Repository!D3:D14,A8,Data_Repository!F3:F14,"On Hold")</f>
        <v>0</v>
      </c>
      <c r="E8" s="69">
        <f>COUNTIFS(Data_Repository!D3:D14,A8,Data_Repository!F3:F14,"Planning")</f>
        <v>0</v>
      </c>
      <c r="F8" s="70">
        <f>SUMIF(Data_Repository!D3:D14,A8,Data_Repository!G3:G14)</f>
        <v>2500000</v>
      </c>
      <c r="G8" s="70">
        <f>SUMIF(Data_Repository!D3:D14,A8,Data_Repository!H3:H14)</f>
        <v>1750000</v>
      </c>
      <c r="H8" s="71">
        <f t="shared" si="0"/>
        <v>0.7</v>
      </c>
      <c r="I8" s="72">
        <f>IFERROR(AVERAGEIF(Data_Repository!D3:D14,A8,Data_Repository!L3:L14),0)</f>
        <v>70</v>
      </c>
      <c r="J8" s="69">
        <f>COUNTIFS(Data_Repository!D3:D14,A8,Data_Repository!N3:N14,"High")</f>
        <v>0</v>
      </c>
      <c r="K8" s="69">
        <f>COUNTIFS(Data_Repository!D3:D14,A8,Data_Repository!M3:M14,"Critical")</f>
        <v>0</v>
      </c>
      <c r="L8" s="69" t="str">
        <f t="shared" si="1"/>
        <v>🟢 GREEN</v>
      </c>
      <c r="M8" s="73">
        <f t="shared" si="2"/>
        <v>3535</v>
      </c>
    </row>
    <row r="9" spans="1:18" x14ac:dyDescent="0.3">
      <c r="A9" s="66" t="s">
        <v>60</v>
      </c>
      <c r="B9" s="39">
        <f>COUNTIFS(Data_Repository!D3:D14,A9,Data_Repository!F3:F14,"In Progress")</f>
        <v>0</v>
      </c>
      <c r="C9" s="39">
        <f>COUNTIFS(Data_Repository!D3:D14,A9,Data_Repository!F3:F14,"Completed")</f>
        <v>1</v>
      </c>
      <c r="D9" s="39">
        <f>COUNTIFS(Data_Repository!D3:D14,A9,Data_Repository!F3:F14,"On Hold")</f>
        <v>0</v>
      </c>
      <c r="E9" s="39">
        <f>COUNTIFS(Data_Repository!D3:D14,A9,Data_Repository!F3:F14,"Planning")</f>
        <v>0</v>
      </c>
      <c r="F9" s="40">
        <f>SUMIF(Data_Repository!D3:D14,A9,Data_Repository!G3:G14)</f>
        <v>4200000</v>
      </c>
      <c r="G9" s="40">
        <f>SUMIF(Data_Repository!D3:D14,A9,Data_Repository!H3:H14)</f>
        <v>4350000</v>
      </c>
      <c r="H9" s="41">
        <f t="shared" si="0"/>
        <v>1.0357142857142858</v>
      </c>
      <c r="I9" s="42">
        <f>IFERROR(AVERAGEIF(Data_Repository!D3:D14,A9,Data_Repository!L3:L14),0)</f>
        <v>100</v>
      </c>
      <c r="J9" s="39">
        <f>COUNTIFS(Data_Repository!D3:D14,A9,Data_Repository!N3:N14,"High")</f>
        <v>1</v>
      </c>
      <c r="K9" s="39">
        <f>COUNTIFS(Data_Repository!D3:D14,A9,Data_Repository!M3:M14,"Critical")</f>
        <v>1</v>
      </c>
      <c r="L9" s="39" t="str">
        <f t="shared" si="1"/>
        <v>🟡 AMBER</v>
      </c>
      <c r="M9" s="67">
        <f t="shared" si="2"/>
        <v>5048.2</v>
      </c>
    </row>
    <row r="10" spans="1:18" x14ac:dyDescent="0.3">
      <c r="A10" s="68" t="s">
        <v>70</v>
      </c>
      <c r="B10" s="69">
        <f>COUNTIFS(Data_Repository!D3:D14,A10,Data_Repository!F3:F14,"In Progress")</f>
        <v>0</v>
      </c>
      <c r="C10" s="69">
        <f>COUNTIFS(Data_Repository!D3:D14,A10,Data_Repository!F3:F14,"Completed")</f>
        <v>1</v>
      </c>
      <c r="D10" s="69">
        <f>COUNTIFS(Data_Repository!D3:D14,A10,Data_Repository!F3:F14,"On Hold")</f>
        <v>0</v>
      </c>
      <c r="E10" s="69">
        <f>COUNTIFS(Data_Repository!D3:D14,A10,Data_Repository!F3:F14,"Planning")</f>
        <v>0</v>
      </c>
      <c r="F10" s="70">
        <f>SUMIF(Data_Repository!D3:D14,A10,Data_Repository!G3:G14)</f>
        <v>950000</v>
      </c>
      <c r="G10" s="70">
        <f>SUMIF(Data_Repository!D3:D14,A10,Data_Repository!H3:H14)</f>
        <v>880000</v>
      </c>
      <c r="H10" s="71">
        <f t="shared" si="0"/>
        <v>0.9263157894736842</v>
      </c>
      <c r="I10" s="72">
        <f>IFERROR(AVERAGEIF(Data_Repository!D3:D14,A10,Data_Repository!L3:L14),0)</f>
        <v>100</v>
      </c>
      <c r="J10" s="69">
        <f>COUNTIFS(Data_Repository!D3:D14,A10,Data_Repository!N3:N14,"High")</f>
        <v>0</v>
      </c>
      <c r="K10" s="69">
        <f>COUNTIFS(Data_Repository!D3:D14,A10,Data_Repository!M3:M14,"Critical")</f>
        <v>0</v>
      </c>
      <c r="L10" s="69" t="str">
        <f t="shared" si="1"/>
        <v>🟢 GREEN</v>
      </c>
      <c r="M10" s="73">
        <f t="shared" si="2"/>
        <v>5046.3</v>
      </c>
    </row>
    <row r="11" spans="1:18" x14ac:dyDescent="0.3">
      <c r="A11" s="66" t="s">
        <v>77</v>
      </c>
      <c r="B11" s="39">
        <f>COUNTIFS(Data_Repository!D3:D14,A11,Data_Repository!F3:F14,"In Progress")</f>
        <v>0</v>
      </c>
      <c r="C11" s="39">
        <f>COUNTIFS(Data_Repository!D3:D14,A11,Data_Repository!F3:F14,"Completed")</f>
        <v>0</v>
      </c>
      <c r="D11" s="39">
        <f>COUNTIFS(Data_Repository!D3:D14,A11,Data_Repository!F3:F14,"On Hold")</f>
        <v>1</v>
      </c>
      <c r="E11" s="39">
        <f>COUNTIFS(Data_Repository!D3:D14,A11,Data_Repository!F3:F14,"Planning")</f>
        <v>0</v>
      </c>
      <c r="F11" s="40">
        <f>SUMIF(Data_Repository!D3:D14,A11,Data_Repository!G3:G14)</f>
        <v>3100000</v>
      </c>
      <c r="G11" s="40">
        <f>SUMIF(Data_Repository!D3:D14,A11,Data_Repository!H3:H14)</f>
        <v>620000</v>
      </c>
      <c r="H11" s="41">
        <f t="shared" si="0"/>
        <v>0.2</v>
      </c>
      <c r="I11" s="42">
        <f>IFERROR(AVERAGEIF(Data_Repository!D3:D14,A11,Data_Repository!L3:L14),0)</f>
        <v>20</v>
      </c>
      <c r="J11" s="39">
        <f>COUNTIFS(Data_Repository!D3:D14,A11,Data_Repository!N3:N14,"High")</f>
        <v>1</v>
      </c>
      <c r="K11" s="39">
        <f>COUNTIFS(Data_Repository!D3:D14,A11,Data_Repository!M3:M14,"Critical")</f>
        <v>0</v>
      </c>
      <c r="L11" s="39" t="str">
        <f t="shared" si="1"/>
        <v>🟢 GREEN</v>
      </c>
      <c r="M11" s="67">
        <f t="shared" si="2"/>
        <v>1010</v>
      </c>
    </row>
    <row r="12" spans="1:18" x14ac:dyDescent="0.3">
      <c r="A12" s="68" t="s">
        <v>86</v>
      </c>
      <c r="B12" s="69">
        <f>COUNTIFS(Data_Repository!D3:D14,A12,Data_Repository!F3:F14,"In Progress")</f>
        <v>1</v>
      </c>
      <c r="C12" s="69">
        <f>COUNTIFS(Data_Repository!D3:D14,A12,Data_Repository!F3:F14,"Completed")</f>
        <v>0</v>
      </c>
      <c r="D12" s="69">
        <f>COUNTIFS(Data_Repository!D3:D14,A12,Data_Repository!F3:F14,"On Hold")</f>
        <v>0</v>
      </c>
      <c r="E12" s="69">
        <f>COUNTIFS(Data_Repository!D3:D14,A12,Data_Repository!F3:F14,"Planning")</f>
        <v>0</v>
      </c>
      <c r="F12" s="70">
        <f>SUMIF(Data_Repository!D3:D14,A12,Data_Repository!G3:G14)</f>
        <v>1400000</v>
      </c>
      <c r="G12" s="70">
        <f>SUMIF(Data_Repository!D3:D14,A12,Data_Repository!H3:H14)</f>
        <v>840000</v>
      </c>
      <c r="H12" s="71">
        <f t="shared" si="0"/>
        <v>0.6</v>
      </c>
      <c r="I12" s="72">
        <f>IFERROR(AVERAGEIF(Data_Repository!D3:D14,A12,Data_Repository!L3:L14),0)</f>
        <v>60</v>
      </c>
      <c r="J12" s="69">
        <f>COUNTIFS(Data_Repository!D3:D14,A12,Data_Repository!N3:N14,"High")</f>
        <v>0</v>
      </c>
      <c r="K12" s="69">
        <f>COUNTIFS(Data_Repository!D3:D14,A12,Data_Repository!M3:M14,"Critical")</f>
        <v>0</v>
      </c>
      <c r="L12" s="69" t="str">
        <f t="shared" si="1"/>
        <v>🟢 GREEN</v>
      </c>
      <c r="M12" s="73">
        <f t="shared" si="2"/>
        <v>3030</v>
      </c>
    </row>
    <row r="13" spans="1:18" x14ac:dyDescent="0.3">
      <c r="A13" s="66" t="s">
        <v>93</v>
      </c>
      <c r="B13" s="39">
        <f>COUNTIFS(Data_Repository!D3:D14,A13,Data_Repository!F3:F14,"In Progress")</f>
        <v>0</v>
      </c>
      <c r="C13" s="39">
        <f>COUNTIFS(Data_Repository!D3:D14,A13,Data_Repository!F3:F14,"Completed")</f>
        <v>0</v>
      </c>
      <c r="D13" s="39">
        <f>COUNTIFS(Data_Repository!D3:D14,A13,Data_Repository!F3:F14,"On Hold")</f>
        <v>0</v>
      </c>
      <c r="E13" s="39">
        <f>COUNTIFS(Data_Repository!D3:D14,A13,Data_Repository!F3:F14,"Planning")</f>
        <v>1</v>
      </c>
      <c r="F13" s="40">
        <f>SUMIF(Data_Repository!D3:D14,A13,Data_Repository!G3:G14)</f>
        <v>5500000</v>
      </c>
      <c r="G13" s="40">
        <f>SUMIF(Data_Repository!D3:D14,A13,Data_Repository!H3:H14)</f>
        <v>110000</v>
      </c>
      <c r="H13" s="41">
        <f t="shared" si="0"/>
        <v>0.02</v>
      </c>
      <c r="I13" s="42">
        <f>IFERROR(AVERAGEIF(Data_Repository!D3:D14,A13,Data_Repository!L3:L14),0)</f>
        <v>2</v>
      </c>
      <c r="J13" s="39">
        <f>COUNTIFS(Data_Repository!D3:D14,A13,Data_Repository!N3:N14,"High")</f>
        <v>1</v>
      </c>
      <c r="K13" s="39">
        <f>COUNTIFS(Data_Repository!D3:D14,A13,Data_Repository!M3:M14,"Critical")</f>
        <v>1</v>
      </c>
      <c r="L13" s="39" t="str">
        <f t="shared" si="1"/>
        <v>🟢 GREEN</v>
      </c>
      <c r="M13" s="67">
        <f t="shared" si="2"/>
        <v>101</v>
      </c>
    </row>
    <row r="14" spans="1:18" x14ac:dyDescent="0.3">
      <c r="A14" s="68" t="s">
        <v>101</v>
      </c>
      <c r="B14" s="69">
        <f>COUNTIFS(Data_Repository!D3:D14,A14,Data_Repository!F3:F14,"In Progress")</f>
        <v>1</v>
      </c>
      <c r="C14" s="69">
        <f>COUNTIFS(Data_Repository!D3:D14,A14,Data_Repository!F3:F14,"Completed")</f>
        <v>0</v>
      </c>
      <c r="D14" s="69">
        <f>COUNTIFS(Data_Repository!D3:D14,A14,Data_Repository!F3:F14,"On Hold")</f>
        <v>0</v>
      </c>
      <c r="E14" s="69">
        <f>COUNTIFS(Data_Repository!D3:D14,A14,Data_Repository!F3:F14,"Planning")</f>
        <v>0</v>
      </c>
      <c r="F14" s="70">
        <f>SUMIF(Data_Repository!D3:D14,A14,Data_Repository!G3:G14)</f>
        <v>750000</v>
      </c>
      <c r="G14" s="70">
        <f>SUMIF(Data_Repository!D3:D14,A14,Data_Repository!H3:H14)</f>
        <v>375000</v>
      </c>
      <c r="H14" s="71">
        <f t="shared" si="0"/>
        <v>0.5</v>
      </c>
      <c r="I14" s="72">
        <f>IFERROR(AVERAGEIF(Data_Repository!D3:D14,A14,Data_Repository!L3:L14),0)</f>
        <v>50</v>
      </c>
      <c r="J14" s="69">
        <f>COUNTIFS(Data_Repository!D3:D14,A14,Data_Repository!N3:N14,"High")</f>
        <v>0</v>
      </c>
      <c r="K14" s="69">
        <f>COUNTIFS(Data_Repository!D3:D14,A14,Data_Repository!M3:M14,"Critical")</f>
        <v>0</v>
      </c>
      <c r="L14" s="69" t="str">
        <f t="shared" si="1"/>
        <v>🟢 GREEN</v>
      </c>
      <c r="M14" s="73">
        <f t="shared" si="2"/>
        <v>2525</v>
      </c>
    </row>
    <row r="15" spans="1:18" x14ac:dyDescent="0.3">
      <c r="A15" s="66" t="s">
        <v>108</v>
      </c>
      <c r="B15" s="39">
        <f>COUNTIFS(Data_Repository!D3:D14,A15,Data_Repository!F3:F14,"In Progress")</f>
        <v>1</v>
      </c>
      <c r="C15" s="39">
        <f>COUNTIFS(Data_Repository!D3:D14,A15,Data_Repository!F3:F14,"Completed")</f>
        <v>0</v>
      </c>
      <c r="D15" s="39">
        <f>COUNTIFS(Data_Repository!D3:D14,A15,Data_Repository!F3:F14,"On Hold")</f>
        <v>0</v>
      </c>
      <c r="E15" s="39">
        <f>COUNTIFS(Data_Repository!D3:D14,A15,Data_Repository!F3:F14,"Planning")</f>
        <v>0</v>
      </c>
      <c r="F15" s="40">
        <f>SUMIF(Data_Repository!D3:D14,A15,Data_Repository!G3:G14)</f>
        <v>620000</v>
      </c>
      <c r="G15" s="40">
        <f>SUMIF(Data_Repository!D3:D14,A15,Data_Repository!H3:H14)</f>
        <v>310000</v>
      </c>
      <c r="H15" s="41">
        <f t="shared" si="0"/>
        <v>0.5</v>
      </c>
      <c r="I15" s="42">
        <f>IFERROR(AVERAGEIF(Data_Repository!D3:D14,A15,Data_Repository!L3:L14),0)</f>
        <v>50</v>
      </c>
      <c r="J15" s="39">
        <f>COUNTIFS(Data_Repository!D3:D14,A15,Data_Repository!N3:N14,"High")</f>
        <v>0</v>
      </c>
      <c r="K15" s="39">
        <f>COUNTIFS(Data_Repository!D3:D14,A15,Data_Repository!M3:M14,"Critical")</f>
        <v>0</v>
      </c>
      <c r="L15" s="39" t="str">
        <f t="shared" si="1"/>
        <v>🟢 GREEN</v>
      </c>
      <c r="M15" s="67">
        <f t="shared" si="2"/>
        <v>2525</v>
      </c>
    </row>
    <row r="16" spans="1:18" x14ac:dyDescent="0.3">
      <c r="A16" s="68" t="s">
        <v>115</v>
      </c>
      <c r="B16" s="69">
        <f>COUNTIFS(Data_Repository!D3:D14,A16,Data_Repository!F3:F14,"In Progress")</f>
        <v>0</v>
      </c>
      <c r="C16" s="69">
        <f>COUNTIFS(Data_Repository!D3:D14,A16,Data_Repository!F3:F14,"Completed")</f>
        <v>1</v>
      </c>
      <c r="D16" s="69">
        <f>COUNTIFS(Data_Repository!D3:D14,A16,Data_Repository!F3:F14,"On Hold")</f>
        <v>0</v>
      </c>
      <c r="E16" s="69">
        <f>COUNTIFS(Data_Repository!D3:D14,A16,Data_Repository!F3:F14,"Planning")</f>
        <v>0</v>
      </c>
      <c r="F16" s="70">
        <f>SUMIF(Data_Repository!D3:D14,A16,Data_Repository!G3:G14)</f>
        <v>880000</v>
      </c>
      <c r="G16" s="70">
        <f>SUMIF(Data_Repository!D3:D14,A16,Data_Repository!H3:H14)</f>
        <v>860000</v>
      </c>
      <c r="H16" s="71">
        <f t="shared" si="0"/>
        <v>0.97727272727272729</v>
      </c>
      <c r="I16" s="72">
        <f>IFERROR(AVERAGEIF(Data_Repository!D3:D14,A16,Data_Repository!L3:L14),0)</f>
        <v>100</v>
      </c>
      <c r="J16" s="69">
        <f>COUNTIFS(Data_Repository!D3:D14,A16,Data_Repository!N3:N14,"High")</f>
        <v>0</v>
      </c>
      <c r="K16" s="69">
        <f>COUNTIFS(Data_Repository!D3:D14,A16,Data_Repository!M3:M14,"Critical")</f>
        <v>0</v>
      </c>
      <c r="L16" s="69" t="str">
        <f t="shared" si="1"/>
        <v>🟡 AMBER</v>
      </c>
      <c r="M16" s="73">
        <f t="shared" si="2"/>
        <v>5048.8999999999996</v>
      </c>
    </row>
    <row r="17" spans="1:13" x14ac:dyDescent="0.3">
      <c r="A17" s="49" t="s">
        <v>231</v>
      </c>
      <c r="B17" s="49">
        <f t="shared" ref="B17:G17" si="3">SUM(B7:B16)</f>
        <v>6</v>
      </c>
      <c r="C17" s="49">
        <f t="shared" si="3"/>
        <v>3</v>
      </c>
      <c r="D17" s="49">
        <f t="shared" si="3"/>
        <v>1</v>
      </c>
      <c r="E17" s="49">
        <f t="shared" si="3"/>
        <v>2</v>
      </c>
      <c r="F17" s="56">
        <f t="shared" si="3"/>
        <v>31400000</v>
      </c>
      <c r="G17" s="56">
        <f t="shared" si="3"/>
        <v>12465000</v>
      </c>
      <c r="H17" s="57">
        <f t="shared" si="0"/>
        <v>0.39697452229299363</v>
      </c>
      <c r="I17" s="63">
        <f>AVERAGE(I7:I16)</f>
        <v>58.933333333333337</v>
      </c>
      <c r="J17" s="49">
        <f>SUM(J7:J16)</f>
        <v>4</v>
      </c>
      <c r="K17" s="49">
        <f>SUM(K7:K16)</f>
        <v>3</v>
      </c>
      <c r="L17" s="49"/>
      <c r="M17" s="58">
        <f>AVERAGE(M7:M16)</f>
        <v>2974.6400000000003</v>
      </c>
    </row>
  </sheetData>
  <mergeCells count="3">
    <mergeCell ref="A1:R2"/>
    <mergeCell ref="A3:R3"/>
    <mergeCell ref="A5:R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🏠 Cover</vt:lpstr>
      <vt:lpstr>Data_Repository</vt:lpstr>
      <vt:lpstr>Executive_Summary</vt:lpstr>
      <vt:lpstr>Project_Tracker</vt:lpstr>
      <vt:lpstr>Budget_Cost_MIS</vt:lpstr>
      <vt:lpstr>Performance_Analysis</vt:lpstr>
      <vt:lpstr>APAC_Regional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amit kumar</cp:lastModifiedBy>
  <cp:revision>1</cp:revision>
  <dcterms:created xsi:type="dcterms:W3CDTF">2026-06-04T05:44:14Z</dcterms:created>
  <dcterms:modified xsi:type="dcterms:W3CDTF">2026-06-04T05:56:50Z</dcterms:modified>
  <dc:language>en-US</dc:language>
</cp:coreProperties>
</file>